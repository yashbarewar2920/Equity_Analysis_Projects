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\Downloads\"/>
    </mc:Choice>
  </mc:AlternateContent>
  <xr:revisionPtr revIDLastSave="0" documentId="13_ncr:1_{C3C8BB66-43A1-47A9-929C-611424DECF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fit &amp; Loss" sheetId="1" r:id="rId1"/>
    <sheet name="Final Dashboard" sheetId="7" r:id="rId2"/>
    <sheet name="Quarters" sheetId="3" r:id="rId3"/>
    <sheet name="Balance Sheet" sheetId="2" r:id="rId4"/>
    <sheet name="Cash Flow" sheetId="4" r:id="rId5"/>
    <sheet name="Customization" sheetId="5" r:id="rId6"/>
    <sheet name="Data Sheet" sheetId="6" r:id="rId7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" i="7" l="1"/>
  <c r="E8" i="7"/>
  <c r="E4" i="7"/>
  <c r="E7" i="7"/>
  <c r="E3" i="7"/>
  <c r="E2" i="7"/>
  <c r="B7" i="7"/>
  <c r="C8" i="7"/>
  <c r="B8" i="7"/>
  <c r="C7" i="7"/>
  <c r="K14" i="1"/>
  <c r="Q8" i="1"/>
  <c r="P8" i="1"/>
  <c r="P4" i="1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B93" i="6"/>
  <c r="B13" i="1" s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K21" i="2" s="1"/>
  <c r="B17" i="2"/>
  <c r="C4" i="2"/>
  <c r="D4" i="2"/>
  <c r="E24" i="2" s="1"/>
  <c r="E4" i="2"/>
  <c r="E5" i="2"/>
  <c r="E23" i="2"/>
  <c r="F4" i="2"/>
  <c r="G4" i="2"/>
  <c r="H4" i="2"/>
  <c r="I4" i="2"/>
  <c r="I5" i="2"/>
  <c r="J4" i="2"/>
  <c r="J5" i="2"/>
  <c r="J23" i="2" s="1"/>
  <c r="K4" i="2"/>
  <c r="K23" i="2" s="1"/>
  <c r="C5" i="2"/>
  <c r="D5" i="2"/>
  <c r="F5" i="2"/>
  <c r="F23" i="2" s="1"/>
  <c r="G5" i="2"/>
  <c r="G23" i="2" s="1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F16" i="2" s="1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B23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I4" i="3"/>
  <c r="L4" i="1" s="1"/>
  <c r="L23" i="1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I11" i="3"/>
  <c r="J11" i="3"/>
  <c r="L11" i="1" s="1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20" i="2" s="1"/>
  <c r="E4" i="1"/>
  <c r="E6" i="1" s="1"/>
  <c r="E19" i="1" s="1"/>
  <c r="F4" i="1"/>
  <c r="F20" i="2" s="1"/>
  <c r="G4" i="1"/>
  <c r="G6" i="1" s="1"/>
  <c r="G19" i="1" s="1"/>
  <c r="H4" i="1"/>
  <c r="I4" i="1"/>
  <c r="J4" i="1"/>
  <c r="J6" i="1" s="1"/>
  <c r="J19" i="1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G12" i="1"/>
  <c r="G13" i="1" s="1"/>
  <c r="H12" i="1"/>
  <c r="H13" i="1" s="1"/>
  <c r="I12" i="1"/>
  <c r="I13" i="1" s="1"/>
  <c r="J12" i="1"/>
  <c r="J13" i="1" s="1"/>
  <c r="J14" i="1" s="1"/>
  <c r="K12" i="1"/>
  <c r="K13" i="1" s="1"/>
  <c r="C15" i="1"/>
  <c r="C14" i="1" s="1"/>
  <c r="D15" i="1"/>
  <c r="D14" i="1" s="1"/>
  <c r="E15" i="1"/>
  <c r="E14" i="1" s="1"/>
  <c r="F15" i="1"/>
  <c r="F14" i="1"/>
  <c r="G15" i="1"/>
  <c r="G14" i="1"/>
  <c r="H15" i="1"/>
  <c r="I15" i="1"/>
  <c r="J15" i="1"/>
  <c r="K15" i="1"/>
  <c r="B15" i="1"/>
  <c r="B14" i="1" s="1"/>
  <c r="B7" i="1"/>
  <c r="B4" i="1"/>
  <c r="B20" i="2" s="1"/>
  <c r="A1" i="1"/>
  <c r="A1" i="3" s="1"/>
  <c r="E1" i="6"/>
  <c r="H1" i="1" s="1"/>
  <c r="E1" i="2"/>
  <c r="E1" i="3"/>
  <c r="H16" i="2"/>
  <c r="D16" i="2"/>
  <c r="C16" i="2"/>
  <c r="H23" i="2"/>
  <c r="D23" i="2"/>
  <c r="K6" i="1"/>
  <c r="K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I21" i="2"/>
  <c r="H21" i="2"/>
  <c r="G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I14" i="3"/>
  <c r="G14" i="3"/>
  <c r="G20" i="2"/>
  <c r="L12" i="1"/>
  <c r="L13" i="1" s="1"/>
  <c r="L14" i="1" s="1"/>
  <c r="L25" i="1" s="1"/>
  <c r="L6" i="1"/>
  <c r="A1" i="2"/>
  <c r="A1" i="4"/>
  <c r="H23" i="1"/>
  <c r="N11" i="1" l="1"/>
  <c r="M11" i="1"/>
  <c r="E20" i="2"/>
  <c r="J16" i="2"/>
  <c r="G16" i="2"/>
  <c r="D13" i="1"/>
  <c r="E13" i="1" s="1"/>
  <c r="L19" i="1"/>
  <c r="L24" i="1" s="1"/>
  <c r="D24" i="2"/>
  <c r="F21" i="2"/>
  <c r="I14" i="1"/>
  <c r="K25" i="1" s="1"/>
  <c r="M25" i="1" s="1"/>
  <c r="M14" i="1" s="1"/>
  <c r="C24" i="2"/>
  <c r="J23" i="1"/>
  <c r="H14" i="1"/>
  <c r="I23" i="1"/>
  <c r="N23" i="1" s="1"/>
  <c r="N4" i="1" s="1"/>
  <c r="C20" i="2"/>
  <c r="C6" i="1"/>
  <c r="C19" i="1" s="1"/>
  <c r="H24" i="1" s="1"/>
  <c r="L8" i="1"/>
  <c r="N8" i="1" s="1"/>
  <c r="J24" i="2"/>
  <c r="J20" i="2"/>
  <c r="J21" i="2"/>
  <c r="I24" i="2"/>
  <c r="K24" i="2"/>
  <c r="D6" i="1"/>
  <c r="D19" i="1" s="1"/>
  <c r="H24" i="2"/>
  <c r="G24" i="2"/>
  <c r="L7" i="1"/>
  <c r="B16" i="2"/>
  <c r="C23" i="2"/>
  <c r="L9" i="1"/>
  <c r="M9" i="1" s="1"/>
  <c r="I23" i="2"/>
  <c r="I6" i="1"/>
  <c r="I19" i="1" s="1"/>
  <c r="K24" i="1" s="1"/>
  <c r="M24" i="1" s="1"/>
  <c r="F24" i="2"/>
  <c r="J25" i="1"/>
  <c r="H25" i="1"/>
  <c r="I25" i="1"/>
  <c r="I20" i="2"/>
  <c r="H20" i="2"/>
  <c r="K23" i="1"/>
  <c r="M23" i="1" s="1"/>
  <c r="M4" i="1" s="1"/>
  <c r="H6" i="1"/>
  <c r="H19" i="1" s="1"/>
  <c r="I24" i="1" s="1"/>
  <c r="F6" i="1"/>
  <c r="F19" i="1" s="1"/>
  <c r="E1" i="4"/>
  <c r="N25" i="1" l="1"/>
  <c r="N14" i="1" s="1"/>
  <c r="J24" i="1"/>
  <c r="N24" i="1" s="1"/>
  <c r="M8" i="1"/>
  <c r="N9" i="1"/>
  <c r="N6" i="1"/>
  <c r="N10" i="1" s="1"/>
  <c r="N12" i="1" s="1"/>
  <c r="N13" i="1" s="1"/>
  <c r="N5" i="1"/>
  <c r="M6" i="1"/>
  <c r="M10" i="1" s="1"/>
  <c r="M12" i="1" s="1"/>
  <c r="M13" i="1" s="1"/>
  <c r="M15" i="1" s="1"/>
  <c r="N15" i="1" l="1"/>
  <c r="M5" i="1"/>
</calcChain>
</file>

<file path=xl/sharedStrings.xml><?xml version="1.0" encoding="utf-8"?>
<sst xmlns="http://schemas.openxmlformats.org/spreadsheetml/2006/main" count="153" uniqueCount="101">
  <si>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</si>
  <si>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</si>
  <si>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</si>
  <si>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</si>
  <si>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</si>
  <si>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</si>
  <si>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</si>
  <si>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</si>
  <si>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</si>
  <si>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</si>
  <si>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</si>
  <si>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</si>
  <si>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</si>
  <si>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</si>
  <si>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</si>
  <si>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</si>
  <si>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</si>
  <si>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</si>
  <si>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</si>
  <si>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</si>
  <si>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</si>
  <si>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</si>
  <si>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</si>
  <si>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</si>
  <si>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</si>
  <si>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</si>
  <si>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</si>
  <si>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</si>
  <si>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</si>
  <si>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</si>
  <si>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</si>
  <si>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</si>
  <si>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</si>
  <si>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</si>
  <si>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</si>
  <si>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</si>
  <si>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</si>
  <si>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</si>
  <si>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</si>
  <si>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</si>
  <si>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</si>
  <si>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</si>
  <si>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</si>
  <si>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</si>
  <si>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</si>
  <si>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</si>
  <si>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</si>
  <si>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</si>
  <si>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</si>
  <si>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</si>
  <si>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</si>
  <si>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</si>
  <si>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</si>
  <si>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</si>
  <si>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</si>
  <si>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</si>
  <si>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</si>
  <si>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</si>
  <si>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</si>
  <si>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</si>
  <si>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</si>
  <si>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</si>
  <si>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</si>
  <si>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ETERNAL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</si>
  <si>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</si>
  <si>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</si>
  <si>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</si>
  <si>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</si>
  <si>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</si>
  <si>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</si>
  <si>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</si>
  <si>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</si>
  <si>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</si>
  <si>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</si>
  <si>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</si>
  <si>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</si>
  <si>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</si>
  <si>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</si>
  <si>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</si>
  <si>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</si>
  <si>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</si>
  <si>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</si>
  <si>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</si>
  <si>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</si>
  <si>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</si>
  <si>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</si>
  <si>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</si>
  <si>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</si>
  <si>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</si>
  <si>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</si>
  <si>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</si>
  <si>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</si>
  <si>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</si>
  <si>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Metrics (in Cr.)</t>
  </si>
  <si>
    <t>Total Revenue</t>
  </si>
  <si>
    <t>EBITDA</t>
  </si>
  <si>
    <t>Net Profit (PAT)</t>
  </si>
  <si>
    <t>EPS (Earnings Per Share)</t>
  </si>
  <si>
    <t>Mar 2026 (Est)</t>
  </si>
  <si>
    <t>EBITDA Margin %</t>
  </si>
  <si>
    <t>NET 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</si>
</sst>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78" formatCode="_ * #,##0.0_ ;_ * \-#,##0.0_ ;_ * &quot;-&quot;??_ ;_ @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606F7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46">
    <xf numFmtId="0" fontId="0" fillId="0" borderId="0" xfId="0"/>
    <xf numFmtId="164" fontId="1" fillId="0" borderId="0" xfId="1" applyFont="1" applyBorder="1"/>
    <xf numFmtId="0" fontId="1" fillId="0" borderId="0" xfId="0" applyFont="1"/>
    <xf numFmtId="0" fontId="8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 indent="1" readingOrder="1"/>
    </xf>
    <xf numFmtId="17" fontId="10" fillId="0" borderId="1" xfId="0" applyNumberFormat="1" applyFont="1" applyBorder="1" applyAlignment="1">
      <alignment horizontal="left" vertical="center" wrapText="1" indent="1" readingOrder="1"/>
    </xf>
    <xf numFmtId="164" fontId="1" fillId="0" borderId="0" xfId="1" applyFont="1" applyBorder="1" applyAlignment="1">
      <alignment horizontal="right"/>
    </xf>
    <xf numFmtId="17" fontId="10" fillId="0" borderId="0" xfId="0" applyNumberFormat="1" applyFont="1" applyBorder="1" applyAlignment="1">
      <alignment horizontal="left" vertical="center" wrapText="1" indent="1" readingOrder="1"/>
    </xf>
    <xf numFmtId="0" fontId="0" fillId="0" borderId="0" xfId="0" applyBorder="1"/>
    <xf numFmtId="2" fontId="10" fillId="0" borderId="1" xfId="0" applyNumberFormat="1" applyFont="1" applyBorder="1" applyAlignment="1">
      <alignment horizontal="right" vertical="center" wrapText="1" indent="1" readingOrder="1"/>
    </xf>
    <xf numFmtId="178" fontId="1" fillId="0" borderId="1" xfId="1" applyNumberFormat="1" applyFont="1" applyBorder="1" applyAlignment="1">
      <alignment horizontal="right"/>
    </xf>
    <xf numFmtId="178" fontId="1" fillId="0" borderId="1" xfId="0" applyNumberFormat="1" applyFont="1" applyBorder="1" applyAlignment="1">
      <alignment horizontal="right"/>
    </xf>
    <xf numFmtId="178" fontId="10" fillId="0" borderId="1" xfId="0" applyNumberFormat="1" applyFont="1" applyBorder="1" applyAlignment="1">
      <alignment horizontal="right" vertical="center" wrapText="1" indent="1" readingOrder="1"/>
    </xf>
    <xf numFmtId="0" fontId="10" fillId="0" borderId="0" xfId="0" applyFont="1" applyFill="1" applyBorder="1" applyAlignment="1">
      <alignment horizontal="left" vertical="center" wrapText="1" indent="1" readingOrder="1"/>
    </xf>
    <xf numFmtId="2" fontId="1" fillId="0" borderId="0" xfId="0" applyNumberFormat="1" applyFont="1"/>
    <xf numFmtId="0" fontId="11" fillId="6" borderId="0" xfId="0" applyFont="1" applyFill="1" applyAlignment="1">
      <alignment horizontal="right" vertical="center" wrapText="1"/>
    </xf>
    <xf numFmtId="43" fontId="10" fillId="0" borderId="1" xfId="0" applyNumberFormat="1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right"/>
    </xf>
    <xf numFmtId="43" fontId="1" fillId="0" borderId="2" xfId="0" applyNumberFormat="1" applyFont="1" applyBorder="1"/>
    <xf numFmtId="0" fontId="10" fillId="0" borderId="0" xfId="0" applyFont="1" applyBorder="1" applyAlignment="1">
      <alignment horizontal="right" vertical="center" wrapText="1" indent="1" readingOrder="1"/>
    </xf>
    <xf numFmtId="43" fontId="1" fillId="0" borderId="1" xfId="0" applyNumberFormat="1" applyFont="1" applyBorder="1"/>
    <xf numFmtId="2" fontId="10" fillId="0" borderId="0" xfId="0" applyNumberFormat="1" applyFont="1" applyBorder="1" applyAlignment="1">
      <alignment horizontal="right" vertical="center" wrapText="1" indent="1" readingOrder="1"/>
    </xf>
    <xf numFmtId="0" fontId="1" fillId="0" borderId="0" xfId="0" applyFont="1" applyBorder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25"/>
  <sheetViews>
    <sheetView zoomScale="131" zoomScaleNormal="91" zoomScaleSheetLayoutView="100" zoomScalePageLayoutView="120" workbookViewId="0">
      <pane xSplit="1" ySplit="4" topLeftCell="I17" activePane="bottomRight" state="frozen"/>
      <selection activeCell="I2" sqref="I2"/>
      <selection pane="topRight" activeCell="I2" sqref="I2"/>
      <selection pane="bottomLeft" activeCell="I2" sqref="I2"/>
      <selection pane="bottomRight" activeCell="J12" sqref="J12:K12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  <col min="16" max="16" width="10" bestFit="1" customWidth="1"/>
  </cols>
  <sheetData>
    <row r="1" spans="1:17" s="2" customFormat="1" x14ac:dyDescent="0.3">
      <c r="A1" s="2" t="str">
        <f>'Data Sheet'!B1</f>
        <v>ETERNAL LTD</v>
      </c>
      <c r="H1" t="str">
        <f>UPDATE</f>
        <v/>
      </c>
      <c r="J1" s="3"/>
      <c r="K1" s="3"/>
      <c r="M1" s="2" t="s">
        <v>1</v>
      </c>
    </row>
    <row r="3" spans="1:17" s="2" customFormat="1" x14ac:dyDescent="0.3">
      <c r="A3" s="11" t="s">
        <v>2</v>
      </c>
      <c r="B3" s="12">
        <f>'Data Sheet'!B16</f>
        <v>0</v>
      </c>
      <c r="C3" s="12">
        <f>'Data Sheet'!C16</f>
        <v>0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7" s="2" customFormat="1" x14ac:dyDescent="0.3">
      <c r="A4" s="2" t="s">
        <v>6</v>
      </c>
      <c r="B4" s="1">
        <f>'Data Sheet'!B17</f>
        <v>0</v>
      </c>
      <c r="C4" s="1">
        <f>'Data Sheet'!C17</f>
        <v>0</v>
      </c>
      <c r="D4" s="1">
        <f>'Data Sheet'!D17</f>
        <v>466.02</v>
      </c>
      <c r="E4" s="1">
        <f>'Data Sheet'!E17</f>
        <v>1312.59</v>
      </c>
      <c r="F4" s="1">
        <f>'Data Sheet'!F17</f>
        <v>2604.7399999999998</v>
      </c>
      <c r="G4" s="1">
        <f>'Data Sheet'!G17</f>
        <v>1993.8</v>
      </c>
      <c r="H4" s="1">
        <f>'Data Sheet'!H17</f>
        <v>4192.3999999999996</v>
      </c>
      <c r="I4" s="1">
        <f>'Data Sheet'!I17</f>
        <v>7079</v>
      </c>
      <c r="J4" s="1">
        <f>'Data Sheet'!J17</f>
        <v>12114</v>
      </c>
      <c r="K4" s="1">
        <f>'Data Sheet'!K17</f>
        <v>20243</v>
      </c>
      <c r="L4" s="1">
        <f>SUM(Quarters!H4:K4)</f>
        <v>42905</v>
      </c>
      <c r="M4" s="1">
        <f>$K4+M23*K4</f>
        <v>42905</v>
      </c>
      <c r="N4" s="1">
        <f>$K4+N23*L4</f>
        <v>41994.174535635786</v>
      </c>
      <c r="P4" s="16">
        <f>(Annual[[#This Row],[Column11]]-Annual[[#This Row],[Column10]])/Annual[[#This Row],[Column10]]</f>
        <v>0.67104176985306252</v>
      </c>
    </row>
    <row r="5" spans="1:17" x14ac:dyDescent="0.3">
      <c r="A5" t="s">
        <v>7</v>
      </c>
      <c r="B5" s="6">
        <f>SUM('Data Sheet'!B18,'Data Sheet'!B20:B24, -1*'Data Sheet'!B19)</f>
        <v>0</v>
      </c>
      <c r="C5" s="6">
        <f>SUM('Data Sheet'!C18,'Data Sheet'!C20:C24, -1*'Data Sheet'!C19)</f>
        <v>0</v>
      </c>
      <c r="D5" s="6">
        <f>SUM('Data Sheet'!D18,'Data Sheet'!D20:D24, -1*'Data Sheet'!D19)</f>
        <v>558.47</v>
      </c>
      <c r="E5" s="6">
        <f>SUM('Data Sheet'!E18,'Data Sheet'!E20:E24, -1*'Data Sheet'!E19)</f>
        <v>3556.07</v>
      </c>
      <c r="F5" s="6">
        <f>SUM('Data Sheet'!F18,'Data Sheet'!F20:F24, -1*'Data Sheet'!F19)</f>
        <v>4909.4399999999996</v>
      </c>
      <c r="G5" s="6">
        <f>SUM('Data Sheet'!G18,'Data Sheet'!G20:G24, -1*'Data Sheet'!G19)</f>
        <v>2460.9</v>
      </c>
      <c r="H5" s="6">
        <f>SUM('Data Sheet'!H18,'Data Sheet'!H20:H24, -1*'Data Sheet'!H19)</f>
        <v>6043.2000000000007</v>
      </c>
      <c r="I5" s="6">
        <f>SUM('Data Sheet'!I18,'Data Sheet'!I20:I24, -1*'Data Sheet'!I19)</f>
        <v>8290</v>
      </c>
      <c r="J5" s="6">
        <f>SUM('Data Sheet'!J18,'Data Sheet'!J20:J24, -1*'Data Sheet'!J19)</f>
        <v>12071</v>
      </c>
      <c r="K5" s="6">
        <f>SUM('Data Sheet'!K18,'Data Sheet'!K20:K24, -1*'Data Sheet'!K19)</f>
        <v>19595</v>
      </c>
      <c r="L5" s="6">
        <f>SUM(Quarters!H5:K5)</f>
        <v>42111</v>
      </c>
      <c r="M5" s="6">
        <f t="shared" ref="M5:N5" si="0">M4-M6</f>
        <v>42111</v>
      </c>
      <c r="N5" s="6">
        <f t="shared" si="0"/>
        <v>41413.879456307106</v>
      </c>
    </row>
    <row r="6" spans="1:17" s="2" customFormat="1" x14ac:dyDescent="0.3">
      <c r="A6" s="2" t="s">
        <v>8</v>
      </c>
      <c r="B6" s="1">
        <f>B4-B5</f>
        <v>0</v>
      </c>
      <c r="C6" s="1">
        <f t="shared" ref="C6:K6" si="1">C4-C5</f>
        <v>0</v>
      </c>
      <c r="D6" s="1">
        <f t="shared" si="1"/>
        <v>-92.450000000000045</v>
      </c>
      <c r="E6" s="1">
        <f t="shared" si="1"/>
        <v>-2243.4800000000005</v>
      </c>
      <c r="F6" s="1">
        <f t="shared" si="1"/>
        <v>-2304.6999999999998</v>
      </c>
      <c r="G6" s="1">
        <f t="shared" si="1"/>
        <v>-467.10000000000014</v>
      </c>
      <c r="H6" s="1">
        <f t="shared" si="1"/>
        <v>-1850.8000000000011</v>
      </c>
      <c r="I6" s="1">
        <f t="shared" si="1"/>
        <v>-1211</v>
      </c>
      <c r="J6" s="1">
        <f t="shared" si="1"/>
        <v>43</v>
      </c>
      <c r="K6" s="1">
        <f t="shared" si="1"/>
        <v>648</v>
      </c>
      <c r="L6" s="1">
        <f>SUM(Quarters!H6:K6)</f>
        <v>794</v>
      </c>
      <c r="M6" s="1">
        <f>M4*M24</f>
        <v>794</v>
      </c>
      <c r="N6" s="1">
        <f>N4*N24</f>
        <v>580.29507932868103</v>
      </c>
      <c r="P6" s="2">
        <v>43</v>
      </c>
      <c r="Q6" s="2">
        <v>648</v>
      </c>
    </row>
    <row r="7" spans="1:17" x14ac:dyDescent="0.3">
      <c r="A7" t="s">
        <v>9</v>
      </c>
      <c r="B7" s="6">
        <f>'Data Sheet'!B25</f>
        <v>0</v>
      </c>
      <c r="C7" s="6">
        <f>'Data Sheet'!C25</f>
        <v>0</v>
      </c>
      <c r="D7" s="6">
        <f>'Data Sheet'!D25</f>
        <v>21.03</v>
      </c>
      <c r="E7" s="6">
        <f>'Data Sheet'!E25</f>
        <v>1285.05</v>
      </c>
      <c r="F7" s="6">
        <f>'Data Sheet'!F25</f>
        <v>15.97</v>
      </c>
      <c r="G7" s="6">
        <f>'Data Sheet'!G25</f>
        <v>-200.2</v>
      </c>
      <c r="H7" s="6">
        <f>'Data Sheet'!H25</f>
        <v>792.6</v>
      </c>
      <c r="I7" s="6">
        <f>'Data Sheet'!I25</f>
        <v>682</v>
      </c>
      <c r="J7" s="6">
        <f>'Data Sheet'!J25</f>
        <v>846</v>
      </c>
      <c r="K7" s="6">
        <f>'Data Sheet'!K25</f>
        <v>1066</v>
      </c>
      <c r="L7" s="6">
        <f>SUM(Quarters!H7:K7)</f>
        <v>1422</v>
      </c>
      <c r="M7" s="6">
        <v>0</v>
      </c>
      <c r="N7" s="6">
        <v>0</v>
      </c>
      <c r="P7">
        <v>846</v>
      </c>
      <c r="Q7">
        <v>1066</v>
      </c>
    </row>
    <row r="8" spans="1:17" x14ac:dyDescent="0.3">
      <c r="A8" t="s">
        <v>10</v>
      </c>
      <c r="B8" s="6">
        <f>'Data Sheet'!B26</f>
        <v>0</v>
      </c>
      <c r="C8" s="6">
        <f>'Data Sheet'!C26</f>
        <v>0</v>
      </c>
      <c r="D8" s="6">
        <f>'Data Sheet'!D26</f>
        <v>29.15</v>
      </c>
      <c r="E8" s="6">
        <f>'Data Sheet'!E26</f>
        <v>43.12</v>
      </c>
      <c r="F8" s="6">
        <f>'Data Sheet'!F26</f>
        <v>84.24</v>
      </c>
      <c r="G8" s="6">
        <f>'Data Sheet'!G26</f>
        <v>137.69999999999999</v>
      </c>
      <c r="H8" s="6">
        <f>'Data Sheet'!H26</f>
        <v>150.30000000000001</v>
      </c>
      <c r="I8" s="6">
        <f>'Data Sheet'!I26</f>
        <v>437</v>
      </c>
      <c r="J8" s="6">
        <f>'Data Sheet'!J26</f>
        <v>526</v>
      </c>
      <c r="K8" s="6">
        <f>'Data Sheet'!K26</f>
        <v>863</v>
      </c>
      <c r="L8" s="6">
        <f>SUM(Quarters!H8:K8)</f>
        <v>1416</v>
      </c>
      <c r="M8" s="6">
        <f>+$L8</f>
        <v>1416</v>
      </c>
      <c r="N8" s="6">
        <f>+$L8</f>
        <v>1416</v>
      </c>
      <c r="P8">
        <f>SUM(P6:P7)</f>
        <v>889</v>
      </c>
      <c r="Q8">
        <f t="shared" ref="Q8" si="2">SUM(Q6:Q7)</f>
        <v>1714</v>
      </c>
    </row>
    <row r="9" spans="1:17" x14ac:dyDescent="0.3">
      <c r="A9" t="s">
        <v>11</v>
      </c>
      <c r="B9" s="6">
        <f>'Data Sheet'!B27</f>
        <v>0</v>
      </c>
      <c r="C9" s="6">
        <f>'Data Sheet'!C27</f>
        <v>0</v>
      </c>
      <c r="D9" s="6">
        <f>'Data Sheet'!D27</f>
        <v>6.35</v>
      </c>
      <c r="E9" s="6">
        <f>'Data Sheet'!E27</f>
        <v>8.69</v>
      </c>
      <c r="F9" s="6">
        <f>'Data Sheet'!F27</f>
        <v>12.64</v>
      </c>
      <c r="G9" s="6">
        <f>'Data Sheet'!G27</f>
        <v>10.1</v>
      </c>
      <c r="H9" s="6">
        <f>'Data Sheet'!H27</f>
        <v>12</v>
      </c>
      <c r="I9" s="6">
        <f>'Data Sheet'!I27</f>
        <v>49</v>
      </c>
      <c r="J9" s="6">
        <f>'Data Sheet'!J27</f>
        <v>72</v>
      </c>
      <c r="K9" s="6">
        <f>'Data Sheet'!K27</f>
        <v>154</v>
      </c>
      <c r="L9" s="6">
        <f>SUM(Quarters!H9:K9)</f>
        <v>316</v>
      </c>
      <c r="M9" s="6">
        <f>+$L9</f>
        <v>316</v>
      </c>
      <c r="N9" s="6">
        <f>+$L9</f>
        <v>316</v>
      </c>
    </row>
    <row r="10" spans="1:17" x14ac:dyDescent="0.3">
      <c r="A10" t="s">
        <v>12</v>
      </c>
      <c r="B10" s="6">
        <f>'Data Sheet'!B28</f>
        <v>0</v>
      </c>
      <c r="C10" s="6">
        <f>'Data Sheet'!C28</f>
        <v>0</v>
      </c>
      <c r="D10" s="6">
        <f>'Data Sheet'!D28</f>
        <v>-106.92</v>
      </c>
      <c r="E10" s="6">
        <f>'Data Sheet'!E28</f>
        <v>-1010.24</v>
      </c>
      <c r="F10" s="6">
        <f>'Data Sheet'!F28</f>
        <v>-2385.61</v>
      </c>
      <c r="G10" s="6">
        <f>'Data Sheet'!G28</f>
        <v>-815.1</v>
      </c>
      <c r="H10" s="6">
        <f>'Data Sheet'!H28</f>
        <v>-1220.5</v>
      </c>
      <c r="I10" s="6">
        <f>'Data Sheet'!I28</f>
        <v>-1015</v>
      </c>
      <c r="J10" s="6">
        <f>'Data Sheet'!J28</f>
        <v>291</v>
      </c>
      <c r="K10" s="6">
        <f>'Data Sheet'!K28</f>
        <v>697</v>
      </c>
      <c r="L10" s="6">
        <f>SUM(Quarters!H10:K10)</f>
        <v>484</v>
      </c>
      <c r="M10" s="6">
        <f>M6+M7-SUM(M8:M9)</f>
        <v>-938</v>
      </c>
      <c r="N10" s="6">
        <f>N6+N7-SUM(N8:N9)</f>
        <v>-1151.7049206713191</v>
      </c>
    </row>
    <row r="11" spans="1:17" x14ac:dyDescent="0.3">
      <c r="A11" t="s">
        <v>13</v>
      </c>
      <c r="B11" s="6">
        <f>'Data Sheet'!B29</f>
        <v>0</v>
      </c>
      <c r="C11" s="6">
        <f>'Data Sheet'!C29</f>
        <v>0</v>
      </c>
      <c r="D11" s="6">
        <f>'Data Sheet'!D29</f>
        <v>0</v>
      </c>
      <c r="E11" s="6">
        <f>'Data Sheet'!E29</f>
        <v>0</v>
      </c>
      <c r="F11" s="6">
        <f>'Data Sheet'!F29</f>
        <v>0</v>
      </c>
      <c r="G11" s="6">
        <f>'Data Sheet'!G29</f>
        <v>1.3</v>
      </c>
      <c r="H11" s="6">
        <f>'Data Sheet'!H29</f>
        <v>2</v>
      </c>
      <c r="I11" s="6">
        <f>'Data Sheet'!I29</f>
        <v>-44</v>
      </c>
      <c r="J11" s="6">
        <f>'Data Sheet'!J29</f>
        <v>-60</v>
      </c>
      <c r="K11" s="6">
        <f>'Data Sheet'!K29</f>
        <v>170</v>
      </c>
      <c r="L11" s="6">
        <f>SUM(Quarters!H11:K11)</f>
        <v>253</v>
      </c>
      <c r="M11" s="7">
        <f>IF($L10&gt;0,$L11/$L10,0)</f>
        <v>0.52272727272727271</v>
      </c>
      <c r="N11" s="7">
        <f>IF($L10&gt;0,$L11/$L10,0)</f>
        <v>0.52272727272727271</v>
      </c>
    </row>
    <row r="12" spans="1:17" s="2" customFormat="1" x14ac:dyDescent="0.3">
      <c r="A12" s="2" t="s">
        <v>14</v>
      </c>
      <c r="B12" s="1">
        <f>'Data Sheet'!B30</f>
        <v>0</v>
      </c>
      <c r="C12" s="1">
        <f>'Data Sheet'!C30</f>
        <v>0</v>
      </c>
      <c r="D12" s="1">
        <f>'Data Sheet'!D30</f>
        <v>-103.68</v>
      </c>
      <c r="E12" s="1">
        <f>'Data Sheet'!E30</f>
        <v>-964.95</v>
      </c>
      <c r="F12" s="1">
        <f>'Data Sheet'!F30</f>
        <v>-2367.16</v>
      </c>
      <c r="G12" s="1">
        <f>'Data Sheet'!G30</f>
        <v>-812.8</v>
      </c>
      <c r="H12" s="1">
        <f>'Data Sheet'!H30</f>
        <v>-1208.7</v>
      </c>
      <c r="I12" s="1">
        <f>'Data Sheet'!I30</f>
        <v>-971</v>
      </c>
      <c r="J12" s="1">
        <f>'Data Sheet'!J30</f>
        <v>351</v>
      </c>
      <c r="K12" s="1">
        <f>'Data Sheet'!K30</f>
        <v>527</v>
      </c>
      <c r="L12" s="1">
        <f>SUM(Quarters!H12:K12)</f>
        <v>231</v>
      </c>
      <c r="M12" s="1">
        <f>M10-M11*M10</f>
        <v>-447.68181818181819</v>
      </c>
      <c r="N12" s="1">
        <f>N10-N11*N10</f>
        <v>-549.67734850222053</v>
      </c>
    </row>
    <row r="13" spans="1:17" x14ac:dyDescent="0.3">
      <c r="A13" t="s">
        <v>57</v>
      </c>
      <c r="B13" s="6">
        <f>IF('Data Sheet'!B93&gt;0,B12/'Data Sheet'!B93,0)</f>
        <v>0</v>
      </c>
      <c r="C13" s="6">
        <f>IF('Data Sheet'!C93&gt;0,C12/'Data Sheet'!C93,0)</f>
        <v>0</v>
      </c>
      <c r="D13" s="6">
        <f>IF('Data Sheet'!D93&gt;0,D12/'Data Sheet'!D93,0)</f>
        <v>-3456.0000000000005</v>
      </c>
      <c r="E13" s="6">
        <f>IF('Data Sheet'!E93&gt;0,E12/'Data Sheet'!E93,0)</f>
        <v>-32165.000000000004</v>
      </c>
      <c r="F13" s="6">
        <f>IF('Data Sheet'!F93&gt;0,F12/'Data Sheet'!F93,0)</f>
        <v>-78905.333333333328</v>
      </c>
      <c r="G13" s="6">
        <f>IF('Data Sheet'!G93&gt;0,G12/'Data Sheet'!G93,0)</f>
        <v>-20320</v>
      </c>
      <c r="H13" s="6">
        <f>IF('Data Sheet'!H93&gt;0,H12/'Data Sheet'!H93,0)</f>
        <v>-1.5354615785261498</v>
      </c>
      <c r="I13" s="6">
        <f>IF('Data Sheet'!I93&gt;0,I12/'Data Sheet'!I93,0)</f>
        <v>-1.1352078096685567</v>
      </c>
      <c r="J13" s="6">
        <f>IF('Data Sheet'!J93&gt;0,J12/'Data Sheet'!J93,0)</f>
        <v>0.39796820789587067</v>
      </c>
      <c r="K13" s="6">
        <f>IF('Data Sheet'!K93&gt;0,K12/'Data Sheet'!K93,0)</f>
        <v>0.54609135372627038</v>
      </c>
      <c r="L13" s="6">
        <f>IF('Data Sheet'!$B6&gt;0,'Profit &amp; Loss'!L12/'Data Sheet'!$B6,0)</f>
        <v>0.23936953882398362</v>
      </c>
      <c r="M13" s="6">
        <f>IF('Data Sheet'!$B6&gt;0,'Profit &amp; Loss'!M12/'Data Sheet'!$B6,0)</f>
        <v>-0.46390212276218318</v>
      </c>
      <c r="N13" s="6">
        <f>IF('Data Sheet'!$B6&gt;0,'Profit &amp; Loss'!N12/'Data Sheet'!$B6,0)</f>
        <v>-0.56959313165786429</v>
      </c>
    </row>
    <row r="14" spans="1:17" x14ac:dyDescent="0.3">
      <c r="A14" t="s">
        <v>16</v>
      </c>
      <c r="B14" s="6" t="str">
        <f>IF(B15&gt;0,B15/B13,"")</f>
        <v/>
      </c>
      <c r="C14" s="6" t="str">
        <f t="shared" ref="C14:K14" si="3">IF(C15&gt;0,C15/C13,"")</f>
        <v/>
      </c>
      <c r="D14" s="6" t="str">
        <f t="shared" si="3"/>
        <v/>
      </c>
      <c r="E14" s="6" t="str">
        <f t="shared" si="3"/>
        <v/>
      </c>
      <c r="F14" s="6" t="str">
        <f t="shared" si="3"/>
        <v/>
      </c>
      <c r="G14" s="6" t="str">
        <f t="shared" si="3"/>
        <v/>
      </c>
      <c r="H14" s="6">
        <f t="shared" si="3"/>
        <v>-53.599517663605532</v>
      </c>
      <c r="I14" s="6">
        <f t="shared" si="3"/>
        <v>-44.92569515962925</v>
      </c>
      <c r="J14" s="6">
        <f t="shared" si="3"/>
        <v>457.5742393162393</v>
      </c>
      <c r="K14" s="6">
        <f t="shared" si="3"/>
        <v>369.35212144212522</v>
      </c>
      <c r="L14" s="6">
        <f t="shared" ref="L14" si="4">IF(L13&gt;0,L15/L13,0)</f>
        <v>1125.665367965368</v>
      </c>
      <c r="M14" s="6">
        <f>M25</f>
        <v>1125.665367965368</v>
      </c>
      <c r="N14" s="6">
        <f>N25</f>
        <v>650.86390957457752</v>
      </c>
    </row>
    <row r="15" spans="1:17" s="2" customFormat="1" x14ac:dyDescent="0.3">
      <c r="A15" s="2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0</v>
      </c>
      <c r="H15" s="1">
        <f>'Data Sheet'!H90</f>
        <v>82.3</v>
      </c>
      <c r="I15" s="1">
        <f>'Data Sheet'!I90</f>
        <v>51</v>
      </c>
      <c r="J15" s="1">
        <f>'Data Sheet'!J90</f>
        <v>182.1</v>
      </c>
      <c r="K15" s="1">
        <f>'Data Sheet'!K90</f>
        <v>201.7</v>
      </c>
      <c r="L15" s="1">
        <f>'Data Sheet'!B8</f>
        <v>269.45</v>
      </c>
      <c r="M15" s="8">
        <f>M13*M14</f>
        <v>-522.19855371900826</v>
      </c>
      <c r="N15" s="9">
        <f>N13*N14</f>
        <v>-370.72761253766464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3">
      <c r="A19" t="s">
        <v>18</v>
      </c>
      <c r="B19" s="5">
        <f t="shared" ref="B19:L19" si="5">IF(B6&gt;0,B6/B4,0)</f>
        <v>0</v>
      </c>
      <c r="C19" s="5">
        <f t="shared" ref="C19:K19" si="6">IF(C6&gt;0,C6/C4,0)</f>
        <v>0</v>
      </c>
      <c r="D19" s="5">
        <f t="shared" si="6"/>
        <v>0</v>
      </c>
      <c r="E19" s="5">
        <f t="shared" si="6"/>
        <v>0</v>
      </c>
      <c r="F19" s="5">
        <f t="shared" si="6"/>
        <v>0</v>
      </c>
      <c r="G19" s="5">
        <f t="shared" si="6"/>
        <v>0</v>
      </c>
      <c r="H19" s="5">
        <f t="shared" si="6"/>
        <v>0</v>
      </c>
      <c r="I19" s="5">
        <f t="shared" si="6"/>
        <v>0</v>
      </c>
      <c r="J19" s="5">
        <f t="shared" si="6"/>
        <v>3.549612019151395E-3</v>
      </c>
      <c r="K19" s="5">
        <f t="shared" si="6"/>
        <v>3.2011065553524676E-2</v>
      </c>
      <c r="L19" s="5">
        <f t="shared" si="5"/>
        <v>1.850600163151148E-2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 t="str">
        <f>IF(B4=0,"",POWER($K4/B4,1/9)-1)</f>
        <v/>
      </c>
      <c r="I23" s="5">
        <f>IF(D4=0,"",POWER($K4/D4,1/7)-1)</f>
        <v>0.71388419649164803</v>
      </c>
      <c r="J23" s="5">
        <f>IF(F4=0,"",POWER($K4/F4,1/5)-1)</f>
        <v>0.50696129904756515</v>
      </c>
      <c r="K23" s="5">
        <f>IF(H4=0,"",POWER($K4/H4, 1/3)-1)</f>
        <v>0.69019723769759134</v>
      </c>
      <c r="L23" s="5">
        <f>IF(ISERROR(MAX(IF(J4=0,"",(K4-J4)/J4),IF(K4=0,"",(L4-K4)/K4))),"",MAX(IF(J4=0,"",(K4-J4)/J4),IF(K4=0,"",(L4-K4)/K4)))</f>
        <v>1.1194980981079878</v>
      </c>
      <c r="M23" s="16">
        <f>MAX(K23:L23)</f>
        <v>1.1194980981079878</v>
      </c>
      <c r="N23" s="16">
        <f>MIN(H23:L23)</f>
        <v>0.50696129904756515</v>
      </c>
    </row>
    <row r="24" spans="1:14" x14ac:dyDescent="0.3">
      <c r="G24" t="s">
        <v>18</v>
      </c>
      <c r="H24" s="5">
        <f>IF(SUM(B4:$K$4)=0,"",SUMPRODUCT(B19:$K$19,B4:$K$4)/SUM(B4:$K$4))</f>
        <v>1.381846615025732E-2</v>
      </c>
      <c r="I24" s="5">
        <f>IF(SUM(E4:$K$4)=0,"",SUMPRODUCT(E19:$K$19,E4:$K$4)/SUM(E4:$K$4))</f>
        <v>1.3948456919151232E-2</v>
      </c>
      <c r="J24" s="5">
        <f>IF(SUM(G4:$K$4)=0,"",SUMPRODUCT(G19:$K$19,G4:$K$4)/SUM(G4:$K$4))</f>
        <v>1.5146134995681928E-2</v>
      </c>
      <c r="K24" s="5">
        <f>IF(SUM(I4:$K$4)=0, "", SUMPRODUCT(I19:$K$19,I4:$K$4)/SUM(I4:$K$4))</f>
        <v>1.7522061060959531E-2</v>
      </c>
      <c r="L24" s="5">
        <f>L19</f>
        <v>1.850600163151148E-2</v>
      </c>
      <c r="M24" s="16">
        <f>MAX(K24:L24)</f>
        <v>1.850600163151148E-2</v>
      </c>
      <c r="N24" s="16">
        <f>MIN(H24:L24)</f>
        <v>1.381846615025732E-2</v>
      </c>
    </row>
    <row r="25" spans="1:14" x14ac:dyDescent="0.3">
      <c r="G25" t="s">
        <v>23</v>
      </c>
      <c r="H25" s="6">
        <f>IF(ISERROR(AVERAGEIF(B14:$L14,"&gt;0")),"",AVERAGEIF(B14:$L14,"&gt;0"))</f>
        <v>650.86390957457752</v>
      </c>
      <c r="I25" s="6">
        <f>IF(ISERROR(AVERAGEIF(E14:$L14,"&gt;0")),"",AVERAGEIF(E14:$L14,"&gt;0"))</f>
        <v>650.86390957457752</v>
      </c>
      <c r="J25" s="6">
        <f>IF(ISERROR(AVERAGEIF(G14:$L14,"&gt;0")),"",AVERAGEIF(G14:$L14,"&gt;0"))</f>
        <v>650.86390957457752</v>
      </c>
      <c r="K25" s="6">
        <f>IF(ISERROR(AVERAGEIF(I14:$L14,"&gt;0")),"",AVERAGEIF(I14:$L14,"&gt;0"))</f>
        <v>650.86390957457752</v>
      </c>
      <c r="L25" s="6">
        <f>L14</f>
        <v>1125.665367965368</v>
      </c>
      <c r="M25" s="1">
        <f>MAX(K25:L25)</f>
        <v>1125.665367965368</v>
      </c>
      <c r="N25" s="1">
        <f>MIN(H25:L25)</f>
        <v>650.86390957457752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5A35-9151-4CAA-8782-BB2D1A936DD7}">
  <dimension ref="A1:H8"/>
  <sheetViews>
    <sheetView tabSelected="1" workbookViewId="0">
      <selection activeCell="B14" sqref="B14"/>
    </sheetView>
  </sheetViews>
  <sheetFormatPr defaultRowHeight="14.4" x14ac:dyDescent="0.3"/>
  <cols>
    <col min="1" max="1" width="26.88671875" customWidth="1"/>
    <col min="2" max="2" width="21.21875" customWidth="1"/>
    <col min="3" max="3" width="22.88671875" customWidth="1"/>
    <col min="4" max="4" width="3.5546875" style="31" customWidth="1"/>
    <col min="5" max="5" width="31.5546875" customWidth="1"/>
    <col min="7" max="7" width="9.88671875" bestFit="1" customWidth="1"/>
    <col min="8" max="8" width="8.109375" bestFit="1" customWidth="1"/>
  </cols>
  <sheetData>
    <row r="1" spans="1:8" ht="25.05" customHeight="1" thickBot="1" x14ac:dyDescent="0.35">
      <c r="A1" s="27" t="s">
        <v>93</v>
      </c>
      <c r="B1" s="28">
        <v>45352</v>
      </c>
      <c r="C1" s="28">
        <v>45717</v>
      </c>
      <c r="D1" s="30"/>
      <c r="E1" s="27" t="s">
        <v>98</v>
      </c>
    </row>
    <row r="2" spans="1:8" ht="25.05" customHeight="1" thickBot="1" x14ac:dyDescent="0.35">
      <c r="A2" s="27" t="s">
        <v>94</v>
      </c>
      <c r="B2" s="33">
        <v>12114</v>
      </c>
      <c r="C2" s="33">
        <v>20243</v>
      </c>
      <c r="D2" s="29"/>
      <c r="E2" s="39">
        <f>C2*1.4</f>
        <v>28340.199999999997</v>
      </c>
    </row>
    <row r="3" spans="1:8" ht="25.05" customHeight="1" thickBot="1" x14ac:dyDescent="0.35">
      <c r="A3" s="27" t="s">
        <v>95</v>
      </c>
      <c r="B3" s="34">
        <v>889</v>
      </c>
      <c r="C3" s="34">
        <v>1714</v>
      </c>
      <c r="D3" s="40"/>
      <c r="E3" s="41">
        <f>E2/100*9.5</f>
        <v>2692.319</v>
      </c>
    </row>
    <row r="4" spans="1:8" ht="25.05" customHeight="1" thickBot="1" x14ac:dyDescent="0.35">
      <c r="A4" s="27" t="s">
        <v>96</v>
      </c>
      <c r="B4" s="35">
        <v>351</v>
      </c>
      <c r="C4" s="35">
        <v>527</v>
      </c>
      <c r="D4" s="42"/>
      <c r="E4" s="43">
        <f>E2/100*2.7</f>
        <v>765.18539999999996</v>
      </c>
    </row>
    <row r="5" spans="1:8" ht="25.05" customHeight="1" thickBot="1" x14ac:dyDescent="0.35">
      <c r="A5" s="27" t="s">
        <v>97</v>
      </c>
      <c r="B5" s="32">
        <v>0.39796820789587067</v>
      </c>
      <c r="C5" s="32">
        <v>0.54609135372627038</v>
      </c>
      <c r="D5" s="44"/>
      <c r="E5" s="32">
        <f>C5*1.3</f>
        <v>0.70991875984415154</v>
      </c>
      <c r="G5" s="38"/>
      <c r="H5" s="38"/>
    </row>
    <row r="6" spans="1:8" x14ac:dyDescent="0.3">
      <c r="A6" s="2"/>
      <c r="B6" s="2"/>
      <c r="C6" s="2"/>
      <c r="D6" s="45"/>
      <c r="E6" s="2"/>
    </row>
    <row r="7" spans="1:8" ht="25.05" customHeight="1" x14ac:dyDescent="0.3">
      <c r="A7" s="36" t="s">
        <v>99</v>
      </c>
      <c r="B7" s="37">
        <f>B3/B2*100</f>
        <v>7.3386164768036988</v>
      </c>
      <c r="C7" s="37">
        <f t="shared" ref="C7:E7" si="0">C3/C2*100</f>
        <v>8.4671244380773594</v>
      </c>
      <c r="D7" s="37"/>
      <c r="E7" s="37">
        <f t="shared" si="0"/>
        <v>9.5000000000000018</v>
      </c>
    </row>
    <row r="8" spans="1:8" ht="25.05" customHeight="1" x14ac:dyDescent="0.3">
      <c r="A8" s="36" t="s">
        <v>100</v>
      </c>
      <c r="B8" s="37">
        <f>B4/B2*100</f>
        <v>2.8974739970282317</v>
      </c>
      <c r="C8" s="37">
        <f t="shared" ref="C8:E8" si="1">C4/C2*100</f>
        <v>2.6033690658499236</v>
      </c>
      <c r="D8" s="45"/>
      <c r="E8" s="37">
        <f t="shared" si="1"/>
        <v>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ETERNAL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2848</v>
      </c>
      <c r="C4" s="1">
        <f>'Data Sheet'!C42</f>
        <v>3288</v>
      </c>
      <c r="D4" s="1">
        <f>'Data Sheet'!D42</f>
        <v>3562</v>
      </c>
      <c r="E4" s="1">
        <f>'Data Sheet'!E42</f>
        <v>4206</v>
      </c>
      <c r="F4" s="1">
        <f>'Data Sheet'!F42</f>
        <v>4799</v>
      </c>
      <c r="G4" s="1">
        <f>'Data Sheet'!G42</f>
        <v>5405</v>
      </c>
      <c r="H4" s="1">
        <f>'Data Sheet'!H42</f>
        <v>5833</v>
      </c>
      <c r="I4" s="1">
        <f>'Data Sheet'!I42</f>
        <v>7167</v>
      </c>
      <c r="J4" s="1">
        <f>'Data Sheet'!J42</f>
        <v>13590</v>
      </c>
      <c r="K4" s="1">
        <f>'Data Sheet'!K42</f>
        <v>16315</v>
      </c>
    </row>
    <row r="5" spans="1:11" x14ac:dyDescent="0.3">
      <c r="A5" t="s">
        <v>7</v>
      </c>
      <c r="B5" s="6">
        <f>'Data Sheet'!B43</f>
        <v>2895</v>
      </c>
      <c r="C5" s="6">
        <f>'Data Sheet'!C43</f>
        <v>3237</v>
      </c>
      <c r="D5" s="6">
        <f>'Data Sheet'!D43</f>
        <v>3476</v>
      </c>
      <c r="E5" s="6">
        <f>'Data Sheet'!E43</f>
        <v>4029</v>
      </c>
      <c r="F5" s="6">
        <f>'Data Sheet'!F43</f>
        <v>4573</v>
      </c>
      <c r="G5" s="6">
        <f>'Data Sheet'!G43</f>
        <v>5243</v>
      </c>
      <c r="H5" s="6">
        <f>'Data Sheet'!H43</f>
        <v>5761</v>
      </c>
      <c r="I5" s="6">
        <f>'Data Sheet'!I43</f>
        <v>7052</v>
      </c>
      <c r="J5" s="6">
        <f>'Data Sheet'!J43</f>
        <v>13351</v>
      </c>
      <c r="K5" s="6">
        <f>'Data Sheet'!K43</f>
        <v>15947</v>
      </c>
    </row>
    <row r="6" spans="1:11" s="2" customFormat="1" x14ac:dyDescent="0.3">
      <c r="A6" s="2" t="s">
        <v>8</v>
      </c>
      <c r="B6" s="1">
        <f>'Data Sheet'!B50</f>
        <v>-47</v>
      </c>
      <c r="C6" s="1">
        <f>'Data Sheet'!C50</f>
        <v>51</v>
      </c>
      <c r="D6" s="1">
        <f>'Data Sheet'!D50</f>
        <v>86</v>
      </c>
      <c r="E6" s="1">
        <f>'Data Sheet'!E50</f>
        <v>177</v>
      </c>
      <c r="F6" s="1">
        <f>'Data Sheet'!F50</f>
        <v>226</v>
      </c>
      <c r="G6" s="1">
        <f>'Data Sheet'!G50</f>
        <v>162</v>
      </c>
      <c r="H6" s="1">
        <f>'Data Sheet'!H50</f>
        <v>72</v>
      </c>
      <c r="I6" s="1">
        <f>'Data Sheet'!I50</f>
        <v>115</v>
      </c>
      <c r="J6" s="1">
        <f>'Data Sheet'!J50</f>
        <v>239</v>
      </c>
      <c r="K6" s="1">
        <f>'Data Sheet'!K50</f>
        <v>368</v>
      </c>
    </row>
    <row r="7" spans="1:11" x14ac:dyDescent="0.3">
      <c r="A7" t="s">
        <v>9</v>
      </c>
      <c r="B7" s="6">
        <f>'Data Sheet'!B44</f>
        <v>212</v>
      </c>
      <c r="C7" s="6">
        <f>'Data Sheet'!C44</f>
        <v>219</v>
      </c>
      <c r="D7" s="6">
        <f>'Data Sheet'!D44</f>
        <v>235</v>
      </c>
      <c r="E7" s="6">
        <f>'Data Sheet'!E44</f>
        <v>236</v>
      </c>
      <c r="F7" s="6">
        <f>'Data Sheet'!F44</f>
        <v>221</v>
      </c>
      <c r="G7" s="6">
        <f>'Data Sheet'!G44</f>
        <v>252</v>
      </c>
      <c r="H7" s="6">
        <f>'Data Sheet'!H44</f>
        <v>368</v>
      </c>
      <c r="I7" s="6">
        <f>'Data Sheet'!I44</f>
        <v>354</v>
      </c>
      <c r="J7" s="6">
        <f>'Data Sheet'!J44</f>
        <v>352</v>
      </c>
      <c r="K7" s="6">
        <f>'Data Sheet'!K44</f>
        <v>348</v>
      </c>
    </row>
    <row r="8" spans="1:11" x14ac:dyDescent="0.3">
      <c r="A8" t="s">
        <v>10</v>
      </c>
      <c r="B8" s="6">
        <f>'Data Sheet'!B45</f>
        <v>128</v>
      </c>
      <c r="C8" s="6">
        <f>'Data Sheet'!C45</f>
        <v>128</v>
      </c>
      <c r="D8" s="6">
        <f>'Data Sheet'!D45</f>
        <v>140</v>
      </c>
      <c r="E8" s="6">
        <f>'Data Sheet'!E45</f>
        <v>149</v>
      </c>
      <c r="F8" s="6">
        <f>'Data Sheet'!F45</f>
        <v>180</v>
      </c>
      <c r="G8" s="6">
        <f>'Data Sheet'!G45</f>
        <v>247</v>
      </c>
      <c r="H8" s="6">
        <f>'Data Sheet'!H45</f>
        <v>287</v>
      </c>
      <c r="I8" s="6">
        <f>'Data Sheet'!I45</f>
        <v>314</v>
      </c>
      <c r="J8" s="6">
        <f>'Data Sheet'!J45</f>
        <v>376</v>
      </c>
      <c r="K8" s="6">
        <f>'Data Sheet'!K45</f>
        <v>439</v>
      </c>
    </row>
    <row r="9" spans="1:11" x14ac:dyDescent="0.3">
      <c r="A9" t="s">
        <v>11</v>
      </c>
      <c r="B9" s="6">
        <f>'Data Sheet'!B46</f>
        <v>16</v>
      </c>
      <c r="C9" s="6">
        <f>'Data Sheet'!C46</f>
        <v>18</v>
      </c>
      <c r="D9" s="6">
        <f>'Data Sheet'!D46</f>
        <v>20</v>
      </c>
      <c r="E9" s="6">
        <f>'Data Sheet'!E46</f>
        <v>25</v>
      </c>
      <c r="F9" s="6">
        <f>'Data Sheet'!F46</f>
        <v>30</v>
      </c>
      <c r="G9" s="6">
        <f>'Data Sheet'!G46</f>
        <v>43</v>
      </c>
      <c r="H9" s="6">
        <f>'Data Sheet'!H46</f>
        <v>56</v>
      </c>
      <c r="I9" s="6">
        <f>'Data Sheet'!I46</f>
        <v>67</v>
      </c>
      <c r="J9" s="6">
        <f>'Data Sheet'!J46</f>
        <v>86</v>
      </c>
      <c r="K9" s="6">
        <f>'Data Sheet'!K46</f>
        <v>107</v>
      </c>
    </row>
    <row r="10" spans="1:11" x14ac:dyDescent="0.3">
      <c r="A10" t="s">
        <v>12</v>
      </c>
      <c r="B10" s="6">
        <f>'Data Sheet'!B47</f>
        <v>21</v>
      </c>
      <c r="C10" s="6">
        <f>'Data Sheet'!C47</f>
        <v>124</v>
      </c>
      <c r="D10" s="6">
        <f>'Data Sheet'!D47</f>
        <v>161</v>
      </c>
      <c r="E10" s="6">
        <f>'Data Sheet'!E47</f>
        <v>239</v>
      </c>
      <c r="F10" s="6">
        <f>'Data Sheet'!F47</f>
        <v>237</v>
      </c>
      <c r="G10" s="6">
        <f>'Data Sheet'!G47</f>
        <v>124</v>
      </c>
      <c r="H10" s="6">
        <f>'Data Sheet'!H47</f>
        <v>97</v>
      </c>
      <c r="I10" s="6">
        <f>'Data Sheet'!I47</f>
        <v>88</v>
      </c>
      <c r="J10" s="6">
        <f>'Data Sheet'!J47</f>
        <v>129</v>
      </c>
      <c r="K10" s="6">
        <f>'Data Sheet'!K47</f>
        <v>170</v>
      </c>
    </row>
    <row r="11" spans="1:11" x14ac:dyDescent="0.3">
      <c r="A11" t="s">
        <v>13</v>
      </c>
      <c r="B11" s="6">
        <f>'Data Sheet'!B48</f>
        <v>-15</v>
      </c>
      <c r="C11" s="6">
        <f>'Data Sheet'!C48</f>
        <v>-14</v>
      </c>
      <c r="D11" s="6">
        <f>'Data Sheet'!D48</f>
        <v>-14</v>
      </c>
      <c r="E11" s="6">
        <f>'Data Sheet'!E48</f>
        <v>-14</v>
      </c>
      <c r="F11" s="6">
        <f>'Data Sheet'!F48</f>
        <v>61</v>
      </c>
      <c r="G11" s="6">
        <f>'Data Sheet'!G48</f>
        <v>65</v>
      </c>
      <c r="H11" s="6">
        <f>'Data Sheet'!H48</f>
        <v>58</v>
      </c>
      <c r="I11" s="6">
        <f>'Data Sheet'!I48</f>
        <v>63</v>
      </c>
      <c r="J11" s="6">
        <f>'Data Sheet'!J48</f>
        <v>64</v>
      </c>
      <c r="K11" s="6">
        <f>'Data Sheet'!K48</f>
        <v>68</v>
      </c>
    </row>
    <row r="12" spans="1:11" s="2" customFormat="1" x14ac:dyDescent="0.3">
      <c r="A12" s="2" t="s">
        <v>14</v>
      </c>
      <c r="B12" s="1">
        <f>'Data Sheet'!B49</f>
        <v>36</v>
      </c>
      <c r="C12" s="1">
        <f>'Data Sheet'!C49</f>
        <v>138</v>
      </c>
      <c r="D12" s="1">
        <f>'Data Sheet'!D49</f>
        <v>175</v>
      </c>
      <c r="E12" s="1">
        <f>'Data Sheet'!E49</f>
        <v>253</v>
      </c>
      <c r="F12" s="1">
        <f>'Data Sheet'!F49</f>
        <v>176</v>
      </c>
      <c r="G12" s="1">
        <f>'Data Sheet'!G49</f>
        <v>59</v>
      </c>
      <c r="H12" s="1">
        <f>'Data Sheet'!H49</f>
        <v>39</v>
      </c>
      <c r="I12" s="1">
        <f>'Data Sheet'!I49</f>
        <v>25</v>
      </c>
      <c r="J12" s="1">
        <f>'Data Sheet'!J49</f>
        <v>65</v>
      </c>
      <c r="K12" s="1">
        <f>'Data Sheet'!K49</f>
        <v>102</v>
      </c>
    </row>
    <row r="14" spans="1:11" s="2" customFormat="1" x14ac:dyDescent="0.3">
      <c r="A14" s="2" t="s">
        <v>18</v>
      </c>
      <c r="B14" s="10">
        <f>IF(B4&gt;0,B6/B4,"")</f>
        <v>-1.6502808988764044E-2</v>
      </c>
      <c r="C14" s="10">
        <f t="shared" ref="C14:K14" si="0">IF(C4&gt;0,C6/C4,"")</f>
        <v>1.5510948905109489E-2</v>
      </c>
      <c r="D14" s="10">
        <f t="shared" si="0"/>
        <v>2.4143739472206625E-2</v>
      </c>
      <c r="E14" s="10">
        <f t="shared" si="0"/>
        <v>4.2082738944365192E-2</v>
      </c>
      <c r="F14" s="10">
        <f t="shared" si="0"/>
        <v>4.7093144405084393E-2</v>
      </c>
      <c r="G14" s="10">
        <f t="shared" si="0"/>
        <v>2.9972247918593896E-2</v>
      </c>
      <c r="H14" s="10">
        <f t="shared" si="0"/>
        <v>1.2343562489285103E-2</v>
      </c>
      <c r="I14" s="10">
        <f t="shared" si="0"/>
        <v>1.6045765313241245E-2</v>
      </c>
      <c r="J14" s="10">
        <f t="shared" si="0"/>
        <v>1.7586460632818247E-2</v>
      </c>
      <c r="K14" s="10">
        <f t="shared" si="0"/>
        <v>2.2555930125651241E-2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ETERNAL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0</v>
      </c>
      <c r="C3" s="12">
        <f>'Data Sheet'!C56</f>
        <v>0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0</v>
      </c>
      <c r="C4" s="14">
        <f>'Data Sheet'!C57</f>
        <v>0</v>
      </c>
      <c r="D4" s="14">
        <f>'Data Sheet'!D57</f>
        <v>0.03</v>
      </c>
      <c r="E4" s="14">
        <f>'Data Sheet'!E57</f>
        <v>0.03</v>
      </c>
      <c r="F4" s="14">
        <f>'Data Sheet'!F57</f>
        <v>0.03</v>
      </c>
      <c r="G4" s="14">
        <f>'Data Sheet'!G57</f>
        <v>0</v>
      </c>
      <c r="H4" s="14">
        <f>'Data Sheet'!H57</f>
        <v>764.3</v>
      </c>
      <c r="I4" s="14">
        <f>'Data Sheet'!I57</f>
        <v>836</v>
      </c>
      <c r="J4" s="14">
        <f>'Data Sheet'!J57</f>
        <v>868</v>
      </c>
      <c r="K4" s="14">
        <f>'Data Sheet'!K57</f>
        <v>907</v>
      </c>
    </row>
    <row r="5" spans="1:11" x14ac:dyDescent="0.3">
      <c r="A5" t="s">
        <v>25</v>
      </c>
      <c r="B5" s="14">
        <f>'Data Sheet'!B58</f>
        <v>0</v>
      </c>
      <c r="C5" s="14">
        <f>'Data Sheet'!C58</f>
        <v>0</v>
      </c>
      <c r="D5" s="14">
        <f>'Data Sheet'!D58</f>
        <v>1036.06</v>
      </c>
      <c r="E5" s="14">
        <f>'Data Sheet'!E58</f>
        <v>2355.61</v>
      </c>
      <c r="F5" s="14">
        <f>'Data Sheet'!F58</f>
        <v>457.35</v>
      </c>
      <c r="G5" s="14">
        <f>'Data Sheet'!G58</f>
        <v>7643.8</v>
      </c>
      <c r="H5" s="14">
        <f>'Data Sheet'!H58</f>
        <v>15741.2</v>
      </c>
      <c r="I5" s="14">
        <f>'Data Sheet'!I58</f>
        <v>18624</v>
      </c>
      <c r="J5" s="14">
        <f>'Data Sheet'!J58</f>
        <v>19545</v>
      </c>
      <c r="K5" s="14">
        <f>'Data Sheet'!K58</f>
        <v>29410</v>
      </c>
    </row>
    <row r="6" spans="1:11" x14ac:dyDescent="0.3">
      <c r="A6" t="s">
        <v>71</v>
      </c>
      <c r="B6" s="14">
        <f>'Data Sheet'!B59</f>
        <v>0</v>
      </c>
      <c r="C6" s="14">
        <f>'Data Sheet'!C59</f>
        <v>0</v>
      </c>
      <c r="D6" s="14">
        <f>'Data Sheet'!D59</f>
        <v>186.23</v>
      </c>
      <c r="E6" s="14">
        <f>'Data Sheet'!E59</f>
        <v>347.94</v>
      </c>
      <c r="F6" s="14">
        <f>'Data Sheet'!F59</f>
        <v>325.58</v>
      </c>
      <c r="G6" s="14">
        <f>'Data Sheet'!G59</f>
        <v>527.4</v>
      </c>
      <c r="H6" s="14">
        <f>'Data Sheet'!H59</f>
        <v>70.3</v>
      </c>
      <c r="I6" s="14">
        <f>'Data Sheet'!I59</f>
        <v>507</v>
      </c>
      <c r="J6" s="14">
        <f>'Data Sheet'!J59</f>
        <v>749</v>
      </c>
      <c r="K6" s="14">
        <f>'Data Sheet'!K59</f>
        <v>2045</v>
      </c>
    </row>
    <row r="7" spans="1:11" x14ac:dyDescent="0.3">
      <c r="A7" t="s">
        <v>72</v>
      </c>
      <c r="B7" s="14">
        <f>'Data Sheet'!B60</f>
        <v>0</v>
      </c>
      <c r="C7" s="14">
        <f>'Data Sheet'!C60</f>
        <v>0</v>
      </c>
      <c r="D7" s="14">
        <f>'Data Sheet'!D60</f>
        <v>152.16999999999999</v>
      </c>
      <c r="E7" s="14">
        <f>'Data Sheet'!E60</f>
        <v>709.3</v>
      </c>
      <c r="F7" s="14">
        <f>'Data Sheet'!F60</f>
        <v>2117.4299999999998</v>
      </c>
      <c r="G7" s="14">
        <f>'Data Sheet'!G60</f>
        <v>532.29999999999995</v>
      </c>
      <c r="H7" s="14">
        <f>'Data Sheet'!H60</f>
        <v>751.2</v>
      </c>
      <c r="I7" s="14">
        <f>'Data Sheet'!I60</f>
        <v>1632</v>
      </c>
      <c r="J7" s="14">
        <f>'Data Sheet'!J60</f>
        <v>2194</v>
      </c>
      <c r="K7" s="14">
        <f>'Data Sheet'!K60</f>
        <v>3261</v>
      </c>
    </row>
    <row r="8" spans="1:11" s="2" customFormat="1" x14ac:dyDescent="0.3">
      <c r="A8" s="2" t="s">
        <v>26</v>
      </c>
      <c r="B8" s="15">
        <f>'Data Sheet'!B61</f>
        <v>0</v>
      </c>
      <c r="C8" s="15">
        <f>'Data Sheet'!C61</f>
        <v>0</v>
      </c>
      <c r="D8" s="15">
        <f>'Data Sheet'!D61</f>
        <v>1374.49</v>
      </c>
      <c r="E8" s="15">
        <f>'Data Sheet'!E61</f>
        <v>3412.88</v>
      </c>
      <c r="F8" s="15">
        <f>'Data Sheet'!F61</f>
        <v>2900.39</v>
      </c>
      <c r="G8" s="15">
        <f>'Data Sheet'!G61</f>
        <v>8703.5</v>
      </c>
      <c r="H8" s="15">
        <f>'Data Sheet'!H61</f>
        <v>17327</v>
      </c>
      <c r="I8" s="15">
        <f>'Data Sheet'!I61</f>
        <v>21599</v>
      </c>
      <c r="J8" s="15">
        <f>'Data Sheet'!J61</f>
        <v>23356</v>
      </c>
      <c r="K8" s="15">
        <f>'Data Sheet'!K61</f>
        <v>35623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0</v>
      </c>
      <c r="C10" s="14">
        <f>'Data Sheet'!C62</f>
        <v>0</v>
      </c>
      <c r="D10" s="14">
        <f>'Data Sheet'!D62</f>
        <v>189.8</v>
      </c>
      <c r="E10" s="14">
        <f>'Data Sheet'!E62</f>
        <v>389.08</v>
      </c>
      <c r="F10" s="14">
        <f>'Data Sheet'!F62</f>
        <v>1590.55</v>
      </c>
      <c r="G10" s="14">
        <f>'Data Sheet'!G62</f>
        <v>1539</v>
      </c>
      <c r="H10" s="14">
        <f>'Data Sheet'!H62</f>
        <v>1404.3</v>
      </c>
      <c r="I10" s="14">
        <f>'Data Sheet'!I62</f>
        <v>6344</v>
      </c>
      <c r="J10" s="14">
        <f>'Data Sheet'!J62</f>
        <v>6448</v>
      </c>
      <c r="K10" s="14">
        <f>'Data Sheet'!K62</f>
        <v>9532</v>
      </c>
    </row>
    <row r="11" spans="1:11" x14ac:dyDescent="0.3">
      <c r="A11" t="s">
        <v>28</v>
      </c>
      <c r="B11" s="14">
        <f>'Data Sheet'!B63</f>
        <v>0</v>
      </c>
      <c r="C11" s="14">
        <f>'Data Sheet'!C63</f>
        <v>0</v>
      </c>
      <c r="D11" s="14">
        <f>'Data Sheet'!D63</f>
        <v>1.29</v>
      </c>
      <c r="E11" s="14">
        <f>'Data Sheet'!E63</f>
        <v>0.74</v>
      </c>
      <c r="F11" s="14">
        <f>'Data Sheet'!F63</f>
        <v>0.96</v>
      </c>
      <c r="G11" s="14">
        <f>'Data Sheet'!G63</f>
        <v>0.1</v>
      </c>
      <c r="H11" s="14">
        <f>'Data Sheet'!H63</f>
        <v>0.6</v>
      </c>
      <c r="I11" s="14">
        <f>'Data Sheet'!I63</f>
        <v>7</v>
      </c>
      <c r="J11" s="14">
        <f>'Data Sheet'!J63</f>
        <v>18</v>
      </c>
      <c r="K11" s="14">
        <f>'Data Sheet'!K63</f>
        <v>51</v>
      </c>
    </row>
    <row r="12" spans="1:11" x14ac:dyDescent="0.3">
      <c r="A12" t="s">
        <v>29</v>
      </c>
      <c r="B12" s="14">
        <f>'Data Sheet'!B64</f>
        <v>0</v>
      </c>
      <c r="C12" s="14">
        <f>'Data Sheet'!C64</f>
        <v>0</v>
      </c>
      <c r="D12" s="14">
        <f>'Data Sheet'!D64</f>
        <v>829.23</v>
      </c>
      <c r="E12" s="14">
        <f>'Data Sheet'!E64</f>
        <v>2144.5500000000002</v>
      </c>
      <c r="F12" s="14">
        <f>'Data Sheet'!F64</f>
        <v>323.92</v>
      </c>
      <c r="G12" s="14">
        <f>'Data Sheet'!G64</f>
        <v>2205.1999999999998</v>
      </c>
      <c r="H12" s="14">
        <f>'Data Sheet'!H64</f>
        <v>4717.7</v>
      </c>
      <c r="I12" s="14">
        <f>'Data Sheet'!I64</f>
        <v>6765</v>
      </c>
      <c r="J12" s="14">
        <f>'Data Sheet'!J64</f>
        <v>11645</v>
      </c>
      <c r="K12" s="14">
        <f>'Data Sheet'!K64</f>
        <v>13192</v>
      </c>
    </row>
    <row r="13" spans="1:11" x14ac:dyDescent="0.3">
      <c r="A13" t="s">
        <v>73</v>
      </c>
      <c r="B13" s="14">
        <f>'Data Sheet'!B65</f>
        <v>0</v>
      </c>
      <c r="C13" s="14">
        <f>'Data Sheet'!C65</f>
        <v>0</v>
      </c>
      <c r="D13" s="14">
        <f>'Data Sheet'!D65</f>
        <v>354.17</v>
      </c>
      <c r="E13" s="14">
        <f>'Data Sheet'!E65</f>
        <v>878.51</v>
      </c>
      <c r="F13" s="14">
        <f>'Data Sheet'!F65</f>
        <v>984.96</v>
      </c>
      <c r="G13" s="14">
        <f>'Data Sheet'!G65</f>
        <v>4959.2</v>
      </c>
      <c r="H13" s="14">
        <f>'Data Sheet'!H65</f>
        <v>11204.4</v>
      </c>
      <c r="I13" s="14">
        <f>'Data Sheet'!I65</f>
        <v>8483</v>
      </c>
      <c r="J13" s="14">
        <f>'Data Sheet'!J65</f>
        <v>5245</v>
      </c>
      <c r="K13" s="14">
        <f>'Data Sheet'!K65</f>
        <v>12848</v>
      </c>
    </row>
    <row r="14" spans="1:11" s="2" customFormat="1" x14ac:dyDescent="0.3">
      <c r="A14" s="2" t="s">
        <v>26</v>
      </c>
      <c r="B14" s="14">
        <f>'Data Sheet'!B66</f>
        <v>0</v>
      </c>
      <c r="C14" s="14">
        <f>'Data Sheet'!C66</f>
        <v>0</v>
      </c>
      <c r="D14" s="14">
        <f>'Data Sheet'!D66</f>
        <v>1374.49</v>
      </c>
      <c r="E14" s="14">
        <f>'Data Sheet'!E66</f>
        <v>3412.88</v>
      </c>
      <c r="F14" s="14">
        <f>'Data Sheet'!F66</f>
        <v>2900.39</v>
      </c>
      <c r="G14" s="14">
        <f>'Data Sheet'!G66</f>
        <v>8703.5</v>
      </c>
      <c r="H14" s="14">
        <f>'Data Sheet'!H66</f>
        <v>17327</v>
      </c>
      <c r="I14" s="14">
        <f>'Data Sheet'!I66</f>
        <v>21599</v>
      </c>
      <c r="J14" s="14">
        <f>'Data Sheet'!J66</f>
        <v>23356</v>
      </c>
      <c r="K14" s="14">
        <f>'Data Sheet'!K66</f>
        <v>35623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0</v>
      </c>
      <c r="C16" s="4">
        <f t="shared" ref="C16:K16" si="0">C13-C7</f>
        <v>0</v>
      </c>
      <c r="D16" s="4">
        <f t="shared" si="0"/>
        <v>202.00000000000003</v>
      </c>
      <c r="E16" s="4">
        <f t="shared" si="0"/>
        <v>169.21000000000004</v>
      </c>
      <c r="F16" s="4">
        <f t="shared" si="0"/>
        <v>-1132.4699999999998</v>
      </c>
      <c r="G16" s="4">
        <f t="shared" si="0"/>
        <v>4426.8999999999996</v>
      </c>
      <c r="H16" s="4">
        <f t="shared" si="0"/>
        <v>10453.199999999999</v>
      </c>
      <c r="I16" s="4">
        <f t="shared" si="0"/>
        <v>6851</v>
      </c>
      <c r="J16" s="4">
        <f t="shared" si="0"/>
        <v>3051</v>
      </c>
      <c r="K16" s="4">
        <f t="shared" si="0"/>
        <v>9587</v>
      </c>
    </row>
    <row r="17" spans="1:11" x14ac:dyDescent="0.3">
      <c r="A17" t="s">
        <v>44</v>
      </c>
      <c r="B17" s="4">
        <f>'Data Sheet'!B67</f>
        <v>0</v>
      </c>
      <c r="C17" s="4">
        <f>'Data Sheet'!C67</f>
        <v>0</v>
      </c>
      <c r="D17" s="4">
        <f>'Data Sheet'!D67</f>
        <v>26.08</v>
      </c>
      <c r="E17" s="4">
        <f>'Data Sheet'!E67</f>
        <v>70.34</v>
      </c>
      <c r="F17" s="4">
        <f>'Data Sheet'!F67</f>
        <v>123.12</v>
      </c>
      <c r="G17" s="4">
        <f>'Data Sheet'!G67</f>
        <v>129.9</v>
      </c>
      <c r="H17" s="4">
        <f>'Data Sheet'!H67</f>
        <v>159.9</v>
      </c>
      <c r="I17" s="4">
        <f>'Data Sheet'!I67</f>
        <v>457</v>
      </c>
      <c r="J17" s="4">
        <f>'Data Sheet'!J67</f>
        <v>794</v>
      </c>
      <c r="K17" s="4">
        <f>'Data Sheet'!K67</f>
        <v>1946</v>
      </c>
    </row>
    <row r="18" spans="1:11" x14ac:dyDescent="0.3">
      <c r="A18" t="s">
        <v>45</v>
      </c>
      <c r="B18" s="4">
        <f>'Data Sheet'!B68</f>
        <v>0</v>
      </c>
      <c r="C18" s="4">
        <f>'Data Sheet'!C68</f>
        <v>0</v>
      </c>
      <c r="D18" s="4">
        <f>'Data Sheet'!D68</f>
        <v>0</v>
      </c>
      <c r="E18" s="4">
        <f>'Data Sheet'!E68</f>
        <v>2.13</v>
      </c>
      <c r="F18" s="4">
        <f>'Data Sheet'!F68</f>
        <v>3.73</v>
      </c>
      <c r="G18" s="4">
        <f>'Data Sheet'!G68</f>
        <v>14.8</v>
      </c>
      <c r="H18" s="4">
        <f>'Data Sheet'!H68</f>
        <v>39.700000000000003</v>
      </c>
      <c r="I18" s="4">
        <f>'Data Sheet'!I68</f>
        <v>83</v>
      </c>
      <c r="J18" s="4">
        <f>'Data Sheet'!J68</f>
        <v>88</v>
      </c>
      <c r="K18" s="4">
        <f>'Data Sheet'!K68</f>
        <v>176</v>
      </c>
    </row>
    <row r="20" spans="1:11" x14ac:dyDescent="0.3">
      <c r="A20" t="s">
        <v>46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0</v>
      </c>
      <c r="D20" s="4">
        <f>IF('Profit &amp; Loss'!D4&gt;0,'Balance Sheet'!D17/('Profit &amp; Loss'!D4/365),0)</f>
        <v>20.426591133427749</v>
      </c>
      <c r="E20" s="4">
        <f>IF('Profit &amp; Loss'!E4&gt;0,'Balance Sheet'!E17/('Profit &amp; Loss'!E4/365),0)</f>
        <v>19.559877798855702</v>
      </c>
      <c r="F20" s="4">
        <f>IF('Profit &amp; Loss'!F4&gt;0,'Balance Sheet'!F17/('Profit &amp; Loss'!F4/365),0)</f>
        <v>17.252700845381884</v>
      </c>
      <c r="G20" s="4">
        <f>IF('Profit &amp; Loss'!G4&gt;0,'Balance Sheet'!G17/('Profit &amp; Loss'!G4/365),0)</f>
        <v>23.780469455311465</v>
      </c>
      <c r="H20" s="4">
        <f>IF('Profit &amp; Loss'!H4&gt;0,'Balance Sheet'!H17/('Profit &amp; Loss'!H4/365),0)</f>
        <v>13.921262284133196</v>
      </c>
      <c r="I20" s="4">
        <f>IF('Profit &amp; Loss'!I4&gt;0,'Balance Sheet'!I17/('Profit &amp; Loss'!I4/365),0)</f>
        <v>23.563356406272071</v>
      </c>
      <c r="J20" s="4">
        <f>IF('Profit &amp; Loss'!J4&gt;0,'Balance Sheet'!J17/('Profit &amp; Loss'!J4/365),0)</f>
        <v>23.923559517913159</v>
      </c>
      <c r="K20" s="4">
        <f>IF('Profit &amp; Loss'!K4&gt;0,'Balance Sheet'!K17/('Profit &amp; Loss'!K4/365),0)</f>
        <v>35.088178629649754</v>
      </c>
    </row>
    <row r="21" spans="1:11" x14ac:dyDescent="0.3">
      <c r="A21" t="s">
        <v>47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0</v>
      </c>
      <c r="D21" s="4">
        <f>IF('Balance Sheet'!D18&gt;0,'Profit &amp; Loss'!D4/'Balance Sheet'!D18,0)</f>
        <v>0</v>
      </c>
      <c r="E21" s="4">
        <f>IF('Balance Sheet'!E18&gt;0,'Profit &amp; Loss'!E4/'Balance Sheet'!E18,0)</f>
        <v>616.23943661971828</v>
      </c>
      <c r="F21" s="4">
        <f>IF('Balance Sheet'!F18&gt;0,'Profit &amp; Loss'!F4/'Balance Sheet'!F18,0)</f>
        <v>698.32171581769433</v>
      </c>
      <c r="G21" s="4">
        <f>IF('Balance Sheet'!G18&gt;0,'Profit &amp; Loss'!G4/'Balance Sheet'!G18,0)</f>
        <v>134.7162162162162</v>
      </c>
      <c r="H21" s="4">
        <f>IF('Balance Sheet'!H18&gt;0,'Profit &amp; Loss'!H4/'Balance Sheet'!H18,0)</f>
        <v>105.60201511335011</v>
      </c>
      <c r="I21" s="4">
        <f>IF('Balance Sheet'!I18&gt;0,'Profit &amp; Loss'!I4/'Balance Sheet'!I18,0)</f>
        <v>85.289156626506028</v>
      </c>
      <c r="J21" s="4">
        <f>IF('Balance Sheet'!J18&gt;0,'Profit &amp; Loss'!J4/'Balance Sheet'!J18,0)</f>
        <v>137.65909090909091</v>
      </c>
      <c r="K21" s="4">
        <f>IF('Balance Sheet'!K18&gt;0,'Profit &amp; Loss'!K4/'Balance Sheet'!K18,0)</f>
        <v>115.01704545454545</v>
      </c>
    </row>
    <row r="23" spans="1:11" s="2" customFormat="1" x14ac:dyDescent="0.3">
      <c r="A23" s="2" t="s">
        <v>59</v>
      </c>
      <c r="B23" s="10" t="str">
        <f>IF(SUM('Balance Sheet'!B4:B5)&gt;0,'Profit &amp; Loss'!B12/SUM('Balance Sheet'!B4:B5),"")</f>
        <v/>
      </c>
      <c r="C23" s="10" t="str">
        <f>IF(SUM('Balance Sheet'!C4:C5)&gt;0,'Profit &amp; Loss'!C12/SUM('Balance Sheet'!C4:C5),"")</f>
        <v/>
      </c>
      <c r="D23" s="10">
        <f>IF(SUM('Balance Sheet'!D4:D5)&gt;0,'Profit &amp; Loss'!D12/SUM('Balance Sheet'!D4:D5),"")</f>
        <v>-0.10006852686542676</v>
      </c>
      <c r="E23" s="10">
        <f>IF(SUM('Balance Sheet'!E4:E5)&gt;0,'Profit &amp; Loss'!E12/SUM('Balance Sheet'!E4:E5),"")</f>
        <v>-0.40963389991679539</v>
      </c>
      <c r="F23" s="10">
        <f>IF(SUM('Balance Sheet'!F4:F5)&gt;0,'Profit &amp; Loss'!F12/SUM('Balance Sheet'!F4:F5),"")</f>
        <v>-5.1754777209322658</v>
      </c>
      <c r="G23" s="10">
        <f>IF(SUM('Balance Sheet'!G4:G5)&gt;0,'Profit &amp; Loss'!G12/SUM('Balance Sheet'!G4:G5),"")</f>
        <v>-0.10633454564483633</v>
      </c>
      <c r="H23" s="10">
        <f>IF(SUM('Balance Sheet'!H4:H5)&gt;0,'Profit &amp; Loss'!H12/SUM('Balance Sheet'!H4:H5),"")</f>
        <v>-7.3230135409408995E-2</v>
      </c>
      <c r="I23" s="10">
        <f>IF(SUM('Balance Sheet'!I4:I5)&gt;0,'Profit &amp; Loss'!I12/SUM('Balance Sheet'!I4:I5),"")</f>
        <v>-4.9897225077081192E-2</v>
      </c>
      <c r="J23" s="10">
        <f>IF(SUM('Balance Sheet'!J4:J5)&gt;0,'Profit &amp; Loss'!J12/SUM('Balance Sheet'!J4:J5),"")</f>
        <v>1.719492480282173E-2</v>
      </c>
      <c r="K23" s="10">
        <f>IF(SUM('Balance Sheet'!K4:K5)&gt;0,'Profit &amp; Loss'!K12/SUM('Balance Sheet'!K4:K5),"")</f>
        <v>1.7382986443249662E-2</v>
      </c>
    </row>
    <row r="24" spans="1:11" s="2" customFormat="1" x14ac:dyDescent="0.3">
      <c r="A24" s="2" t="s">
        <v>60</v>
      </c>
      <c r="B24" s="10"/>
      <c r="C24" s="10" t="str">
        <f>IF((B4+B5+B6+C4+C5+C6)&gt;0,('Profit &amp; Loss'!C10+'Profit &amp; Loss'!C9)*2/(B4+B5+B6+C4+C5+C6),"")</f>
        <v/>
      </c>
      <c r="D24" s="10">
        <f>IF((C4+C5+C6+D4+D5+D6)&gt;0,('Profit &amp; Loss'!D10+'Profit &amp; Loss'!D9)*2/(C4+C5+C6+D4+D5+D6),"")</f>
        <v>-0.16455592643497613</v>
      </c>
      <c r="E24" s="10">
        <f>IF((D4+D5+D6+E4+E5+E6)&gt;0,('Profit &amp; Loss'!E10+'Profit &amp; Loss'!E9)*2/(D4+D5+D6+E4+E5+E6),"")</f>
        <v>-0.5102269543289436</v>
      </c>
      <c r="F24" s="10">
        <f>IF((E4+E5+E6+F4+F5+F6)&gt;0,('Profit &amp; Loss'!F10+'Profit &amp; Loss'!F9)*2/(E4+E5+E6+F4+F5+F6),"")</f>
        <v>-1.3612177115421018</v>
      </c>
      <c r="G24" s="10">
        <f>IF((F4+F5+F6+G4+G5+G6)&gt;0,('Profit &amp; Loss'!G10+'Profit &amp; Loss'!G9)*2/(F4+F5+F6+G4+G5+G6),"")</f>
        <v>-0.17980469413099609</v>
      </c>
      <c r="H24" s="10">
        <f>IF((G4+G5+G6+H4+H5+H6)&gt;0,('Profit &amp; Loss'!H10+'Profit &amp; Loss'!H9)*2/(G4+G5+G6+H4+H5+H6),"")</f>
        <v>-9.766840425102033E-2</v>
      </c>
      <c r="I24" s="10">
        <f>IF((H4+H5+H6+I4+I5+I6)&gt;0,('Profit &amp; Loss'!I10+'Profit &amp; Loss'!I9)*2/(H4+H5+H6+I4+I5+I6),"")</f>
        <v>-5.2869511914795796E-2</v>
      </c>
      <c r="J24" s="10">
        <f>IF((I4+I5+I6+J4+J5+J6)&gt;0,('Profit &amp; Loss'!J10+'Profit &amp; Loss'!J9)*2/(I4+I5+I6+J4+J5+J6),"")</f>
        <v>1.7651778550414551E-2</v>
      </c>
      <c r="K24" s="10">
        <f>IF((J4+J5+J6+K4+K5+K6)&gt;0,('Profit &amp; Loss'!K10+'Profit &amp; Loss'!K9)*2/(J4+J5+J6+K4+K5+K6),"")</f>
        <v>3.1798819221283907E-2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ETERNAL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0</v>
      </c>
      <c r="C3" s="12">
        <f>'Data Sheet'!C81</f>
        <v>0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0</v>
      </c>
      <c r="F4" s="1">
        <f>'Data Sheet'!F82</f>
        <v>-2143.63</v>
      </c>
      <c r="G4" s="1">
        <f>'Data Sheet'!G82</f>
        <v>-1017.9</v>
      </c>
      <c r="H4" s="1">
        <f>'Data Sheet'!H82</f>
        <v>-693</v>
      </c>
      <c r="I4" s="1">
        <f>'Data Sheet'!I82</f>
        <v>-844</v>
      </c>
      <c r="J4" s="1">
        <f>'Data Sheet'!J82</f>
        <v>646</v>
      </c>
      <c r="K4" s="1">
        <f>'Data Sheet'!K82</f>
        <v>308</v>
      </c>
    </row>
    <row r="5" spans="1:11" x14ac:dyDescent="0.3">
      <c r="A5" t="s">
        <v>33</v>
      </c>
      <c r="B5" s="6">
        <f>'Data Sheet'!B83</f>
        <v>0</v>
      </c>
      <c r="C5" s="6">
        <f>'Data Sheet'!C83</f>
        <v>0</v>
      </c>
      <c r="D5" s="6">
        <f>'Data Sheet'!D83</f>
        <v>0</v>
      </c>
      <c r="E5" s="6">
        <f>'Data Sheet'!E83</f>
        <v>0</v>
      </c>
      <c r="F5" s="6">
        <f>'Data Sheet'!F83</f>
        <v>1739.51</v>
      </c>
      <c r="G5" s="6">
        <f>'Data Sheet'!G83</f>
        <v>-5244.6</v>
      </c>
      <c r="H5" s="6">
        <f>'Data Sheet'!H83</f>
        <v>-7971</v>
      </c>
      <c r="I5" s="6">
        <f>'Data Sheet'!I83</f>
        <v>797</v>
      </c>
      <c r="J5" s="6">
        <f>'Data Sheet'!J83</f>
        <v>-348</v>
      </c>
      <c r="K5" s="6">
        <f>'Data Sheet'!K83</f>
        <v>-7993</v>
      </c>
    </row>
    <row r="6" spans="1:11" x14ac:dyDescent="0.3">
      <c r="A6" t="s">
        <v>34</v>
      </c>
      <c r="B6" s="6">
        <f>'Data Sheet'!B84</f>
        <v>0</v>
      </c>
      <c r="C6" s="6">
        <f>'Data Sheet'!C84</f>
        <v>0</v>
      </c>
      <c r="D6" s="6">
        <f>'Data Sheet'!D84</f>
        <v>0</v>
      </c>
      <c r="E6" s="6">
        <f>'Data Sheet'!E84</f>
        <v>0</v>
      </c>
      <c r="F6" s="6">
        <f>'Data Sheet'!F84</f>
        <v>358.91</v>
      </c>
      <c r="G6" s="6">
        <f>'Data Sheet'!G84</f>
        <v>6401.9</v>
      </c>
      <c r="H6" s="6">
        <f>'Data Sheet'!H84</f>
        <v>8749.7999999999993</v>
      </c>
      <c r="I6" s="6">
        <f>'Data Sheet'!I84</f>
        <v>-127</v>
      </c>
      <c r="J6" s="6">
        <f>'Data Sheet'!J84</f>
        <v>-207</v>
      </c>
      <c r="K6" s="6">
        <f>'Data Sheet'!K84</f>
        <v>8042</v>
      </c>
    </row>
    <row r="7" spans="1:11" s="2" customFormat="1" x14ac:dyDescent="0.3">
      <c r="A7" s="2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0</v>
      </c>
      <c r="F7" s="1">
        <f>'Data Sheet'!F85</f>
        <v>-45.22</v>
      </c>
      <c r="G7" s="1">
        <f>'Data Sheet'!G85</f>
        <v>139.4</v>
      </c>
      <c r="H7" s="1">
        <f>'Data Sheet'!H85</f>
        <v>85.8</v>
      </c>
      <c r="I7" s="1">
        <f>'Data Sheet'!I85</f>
        <v>-174</v>
      </c>
      <c r="J7" s="1">
        <f>'Data Sheet'!J85</f>
        <v>91</v>
      </c>
      <c r="K7" s="1">
        <f>'Data Sheet'!K85</f>
        <v>357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topLeftCell="A3"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6" sqref="B6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965.03507144182606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269.45</v>
      </c>
    </row>
    <row r="9" spans="1:11" x14ac:dyDescent="0.3">
      <c r="A9" s="4" t="s">
        <v>79</v>
      </c>
      <c r="B9">
        <v>260028.7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/>
      <c r="C16" s="12"/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D17">
        <v>466.02</v>
      </c>
      <c r="E17">
        <v>1312.59</v>
      </c>
      <c r="F17">
        <v>2604.7399999999998</v>
      </c>
      <c r="G17">
        <v>1993.8</v>
      </c>
      <c r="H17">
        <v>4192.3999999999996</v>
      </c>
      <c r="I17">
        <v>7079</v>
      </c>
      <c r="J17">
        <v>12114</v>
      </c>
      <c r="K17">
        <v>20243</v>
      </c>
    </row>
    <row r="18" spans="1:11" s="6" customFormat="1" x14ac:dyDescent="0.3">
      <c r="A18" s="4" t="s">
        <v>80</v>
      </c>
      <c r="E18">
        <v>18.72</v>
      </c>
      <c r="F18">
        <v>110.52</v>
      </c>
      <c r="G18">
        <v>202.9</v>
      </c>
      <c r="H18">
        <v>552.4</v>
      </c>
      <c r="I18">
        <v>1438</v>
      </c>
      <c r="J18">
        <v>2887</v>
      </c>
      <c r="K18">
        <v>5653</v>
      </c>
    </row>
    <row r="19" spans="1:11" s="6" customFormat="1" x14ac:dyDescent="0.3">
      <c r="A19" s="4" t="s">
        <v>81</v>
      </c>
      <c r="E19">
        <v>2.13</v>
      </c>
      <c r="F19">
        <v>1.6</v>
      </c>
      <c r="G19">
        <v>11</v>
      </c>
      <c r="H19">
        <v>27.8</v>
      </c>
      <c r="I19">
        <v>43</v>
      </c>
      <c r="J19">
        <v>5</v>
      </c>
      <c r="K19">
        <v>88</v>
      </c>
    </row>
    <row r="20" spans="1:11" s="6" customFormat="1" x14ac:dyDescent="0.3">
      <c r="A20" s="4" t="s">
        <v>82</v>
      </c>
      <c r="D20">
        <v>2.41</v>
      </c>
      <c r="E20">
        <v>3.17</v>
      </c>
      <c r="F20">
        <v>6.29</v>
      </c>
      <c r="G20">
        <v>1.9</v>
      </c>
      <c r="H20">
        <v>4</v>
      </c>
      <c r="I20">
        <v>23</v>
      </c>
      <c r="J20">
        <v>51</v>
      </c>
      <c r="K20">
        <v>143</v>
      </c>
    </row>
    <row r="21" spans="1:11" s="6" customFormat="1" x14ac:dyDescent="0.3">
      <c r="A21" s="4" t="s">
        <v>83</v>
      </c>
      <c r="D21">
        <v>49.81</v>
      </c>
      <c r="E21">
        <v>1339.7</v>
      </c>
      <c r="F21">
        <v>2108.91</v>
      </c>
      <c r="G21">
        <v>74.5</v>
      </c>
      <c r="H21">
        <v>183.3</v>
      </c>
      <c r="I21">
        <v>384</v>
      </c>
      <c r="J21">
        <v>521</v>
      </c>
      <c r="K21">
        <v>968</v>
      </c>
    </row>
    <row r="22" spans="1:11" s="6" customFormat="1" x14ac:dyDescent="0.3">
      <c r="A22" s="4" t="s">
        <v>84</v>
      </c>
      <c r="D22">
        <v>290.49</v>
      </c>
      <c r="E22">
        <v>600.79</v>
      </c>
      <c r="F22">
        <v>798.88</v>
      </c>
      <c r="G22">
        <v>740.8</v>
      </c>
      <c r="H22">
        <v>1633.1</v>
      </c>
      <c r="I22">
        <v>1465</v>
      </c>
      <c r="J22">
        <v>1659</v>
      </c>
      <c r="K22">
        <v>2558</v>
      </c>
    </row>
    <row r="23" spans="1:11" s="6" customFormat="1" x14ac:dyDescent="0.3">
      <c r="A23" s="4" t="s">
        <v>85</v>
      </c>
      <c r="D23">
        <v>182.17</v>
      </c>
      <c r="E23">
        <v>1514.3</v>
      </c>
      <c r="F23">
        <v>1756.34</v>
      </c>
      <c r="G23">
        <v>1435</v>
      </c>
      <c r="H23">
        <v>3654.4</v>
      </c>
      <c r="I23">
        <v>4961</v>
      </c>
      <c r="J23">
        <v>6882</v>
      </c>
      <c r="K23">
        <v>10275</v>
      </c>
    </row>
    <row r="24" spans="1:11" s="6" customFormat="1" x14ac:dyDescent="0.3">
      <c r="A24" s="4" t="s">
        <v>86</v>
      </c>
      <c r="D24">
        <v>33.590000000000003</v>
      </c>
      <c r="E24">
        <v>81.52</v>
      </c>
      <c r="F24">
        <v>130.1</v>
      </c>
      <c r="G24">
        <v>16.8</v>
      </c>
      <c r="H24">
        <v>43.8</v>
      </c>
      <c r="I24">
        <v>62</v>
      </c>
      <c r="J24">
        <v>76</v>
      </c>
      <c r="K24">
        <v>86</v>
      </c>
    </row>
    <row r="25" spans="1:11" s="6" customFormat="1" x14ac:dyDescent="0.3">
      <c r="A25" s="6" t="s">
        <v>9</v>
      </c>
      <c r="D25">
        <v>21.03</v>
      </c>
      <c r="E25">
        <v>1285.05</v>
      </c>
      <c r="F25">
        <v>15.97</v>
      </c>
      <c r="G25">
        <v>-200.2</v>
      </c>
      <c r="H25">
        <v>792.6</v>
      </c>
      <c r="I25">
        <v>682</v>
      </c>
      <c r="J25">
        <v>846</v>
      </c>
      <c r="K25">
        <v>1066</v>
      </c>
    </row>
    <row r="26" spans="1:11" s="6" customFormat="1" x14ac:dyDescent="0.3">
      <c r="A26" s="6" t="s">
        <v>10</v>
      </c>
      <c r="D26">
        <v>29.15</v>
      </c>
      <c r="E26">
        <v>43.12</v>
      </c>
      <c r="F26">
        <v>84.24</v>
      </c>
      <c r="G26">
        <v>137.69999999999999</v>
      </c>
      <c r="H26">
        <v>150.30000000000001</v>
      </c>
      <c r="I26">
        <v>437</v>
      </c>
      <c r="J26">
        <v>526</v>
      </c>
      <c r="K26">
        <v>863</v>
      </c>
    </row>
    <row r="27" spans="1:11" s="6" customFormat="1" x14ac:dyDescent="0.3">
      <c r="A27" s="6" t="s">
        <v>11</v>
      </c>
      <c r="D27">
        <v>6.35</v>
      </c>
      <c r="E27">
        <v>8.69</v>
      </c>
      <c r="F27">
        <v>12.64</v>
      </c>
      <c r="G27">
        <v>10.1</v>
      </c>
      <c r="H27">
        <v>12</v>
      </c>
      <c r="I27">
        <v>49</v>
      </c>
      <c r="J27">
        <v>72</v>
      </c>
      <c r="K27">
        <v>154</v>
      </c>
    </row>
    <row r="28" spans="1:11" s="6" customFormat="1" x14ac:dyDescent="0.3">
      <c r="A28" s="6" t="s">
        <v>12</v>
      </c>
      <c r="D28">
        <v>-106.92</v>
      </c>
      <c r="E28">
        <v>-1010.24</v>
      </c>
      <c r="F28">
        <v>-2385.61</v>
      </c>
      <c r="G28">
        <v>-815.1</v>
      </c>
      <c r="H28">
        <v>-1220.5</v>
      </c>
      <c r="I28">
        <v>-1015</v>
      </c>
      <c r="J28">
        <v>291</v>
      </c>
      <c r="K28">
        <v>697</v>
      </c>
    </row>
    <row r="29" spans="1:11" s="6" customFormat="1" x14ac:dyDescent="0.3">
      <c r="A29" s="6" t="s">
        <v>13</v>
      </c>
      <c r="G29">
        <v>1.3</v>
      </c>
      <c r="H29">
        <v>2</v>
      </c>
      <c r="I29">
        <v>-44</v>
      </c>
      <c r="J29">
        <v>-60</v>
      </c>
      <c r="K29">
        <v>170</v>
      </c>
    </row>
    <row r="30" spans="1:11" s="6" customFormat="1" x14ac:dyDescent="0.3">
      <c r="A30" s="6" t="s">
        <v>14</v>
      </c>
      <c r="D30">
        <v>-103.68</v>
      </c>
      <c r="E30">
        <v>-964.95</v>
      </c>
      <c r="F30">
        <v>-2367.16</v>
      </c>
      <c r="G30">
        <v>-812.8</v>
      </c>
      <c r="H30">
        <v>-1208.7</v>
      </c>
      <c r="I30">
        <v>-971</v>
      </c>
      <c r="J30">
        <v>351</v>
      </c>
      <c r="K30">
        <v>527</v>
      </c>
    </row>
    <row r="31" spans="1:11" s="6" customFormat="1" x14ac:dyDescent="0.3">
      <c r="A31" s="6" t="s">
        <v>70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2848</v>
      </c>
      <c r="C42">
        <v>3288</v>
      </c>
      <c r="D42">
        <v>3562</v>
      </c>
      <c r="E42">
        <v>4206</v>
      </c>
      <c r="F42">
        <v>4799</v>
      </c>
      <c r="G42">
        <v>5405</v>
      </c>
      <c r="H42">
        <v>5833</v>
      </c>
      <c r="I42">
        <v>7167</v>
      </c>
      <c r="J42">
        <v>13590</v>
      </c>
      <c r="K42">
        <v>16315</v>
      </c>
    </row>
    <row r="43" spans="1:11" s="6" customFormat="1" x14ac:dyDescent="0.3">
      <c r="A43" s="6" t="s">
        <v>7</v>
      </c>
      <c r="B43">
        <v>2895</v>
      </c>
      <c r="C43">
        <v>3237</v>
      </c>
      <c r="D43">
        <v>3476</v>
      </c>
      <c r="E43">
        <v>4029</v>
      </c>
      <c r="F43">
        <v>4573</v>
      </c>
      <c r="G43">
        <v>5243</v>
      </c>
      <c r="H43">
        <v>5761</v>
      </c>
      <c r="I43">
        <v>7052</v>
      </c>
      <c r="J43">
        <v>13351</v>
      </c>
      <c r="K43">
        <v>15947</v>
      </c>
    </row>
    <row r="44" spans="1:11" s="6" customFormat="1" x14ac:dyDescent="0.3">
      <c r="A44" s="6" t="s">
        <v>9</v>
      </c>
      <c r="B44">
        <v>212</v>
      </c>
      <c r="C44">
        <v>219</v>
      </c>
      <c r="D44">
        <v>235</v>
      </c>
      <c r="E44">
        <v>236</v>
      </c>
      <c r="F44">
        <v>221</v>
      </c>
      <c r="G44">
        <v>252</v>
      </c>
      <c r="H44">
        <v>368</v>
      </c>
      <c r="I44">
        <v>354</v>
      </c>
      <c r="J44">
        <v>352</v>
      </c>
      <c r="K44">
        <v>348</v>
      </c>
    </row>
    <row r="45" spans="1:11" s="6" customFormat="1" x14ac:dyDescent="0.3">
      <c r="A45" s="6" t="s">
        <v>10</v>
      </c>
      <c r="B45">
        <v>128</v>
      </c>
      <c r="C45">
        <v>128</v>
      </c>
      <c r="D45">
        <v>140</v>
      </c>
      <c r="E45">
        <v>149</v>
      </c>
      <c r="F45">
        <v>180</v>
      </c>
      <c r="G45">
        <v>247</v>
      </c>
      <c r="H45">
        <v>287</v>
      </c>
      <c r="I45">
        <v>314</v>
      </c>
      <c r="J45">
        <v>376</v>
      </c>
      <c r="K45">
        <v>439</v>
      </c>
    </row>
    <row r="46" spans="1:11" s="6" customFormat="1" x14ac:dyDescent="0.3">
      <c r="A46" s="6" t="s">
        <v>11</v>
      </c>
      <c r="B46">
        <v>16</v>
      </c>
      <c r="C46">
        <v>18</v>
      </c>
      <c r="D46">
        <v>20</v>
      </c>
      <c r="E46">
        <v>25</v>
      </c>
      <c r="F46">
        <v>30</v>
      </c>
      <c r="G46">
        <v>43</v>
      </c>
      <c r="H46">
        <v>56</v>
      </c>
      <c r="I46">
        <v>67</v>
      </c>
      <c r="J46">
        <v>86</v>
      </c>
      <c r="K46">
        <v>107</v>
      </c>
    </row>
    <row r="47" spans="1:11" s="6" customFormat="1" x14ac:dyDescent="0.3">
      <c r="A47" s="6" t="s">
        <v>12</v>
      </c>
      <c r="B47">
        <v>21</v>
      </c>
      <c r="C47">
        <v>124</v>
      </c>
      <c r="D47">
        <v>161</v>
      </c>
      <c r="E47">
        <v>239</v>
      </c>
      <c r="F47">
        <v>237</v>
      </c>
      <c r="G47">
        <v>124</v>
      </c>
      <c r="H47">
        <v>97</v>
      </c>
      <c r="I47">
        <v>88</v>
      </c>
      <c r="J47">
        <v>129</v>
      </c>
      <c r="K47">
        <v>170</v>
      </c>
    </row>
    <row r="48" spans="1:11" s="6" customFormat="1" x14ac:dyDescent="0.3">
      <c r="A48" s="6" t="s">
        <v>13</v>
      </c>
      <c r="B48">
        <v>-15</v>
      </c>
      <c r="C48">
        <v>-14</v>
      </c>
      <c r="D48">
        <v>-14</v>
      </c>
      <c r="E48">
        <v>-14</v>
      </c>
      <c r="F48">
        <v>61</v>
      </c>
      <c r="G48">
        <v>65</v>
      </c>
      <c r="H48">
        <v>58</v>
      </c>
      <c r="I48">
        <v>63</v>
      </c>
      <c r="J48">
        <v>64</v>
      </c>
      <c r="K48">
        <v>68</v>
      </c>
    </row>
    <row r="49" spans="1:11" s="6" customFormat="1" x14ac:dyDescent="0.3">
      <c r="A49" s="6" t="s">
        <v>14</v>
      </c>
      <c r="B49">
        <v>36</v>
      </c>
      <c r="C49">
        <v>138</v>
      </c>
      <c r="D49">
        <v>175</v>
      </c>
      <c r="E49">
        <v>253</v>
      </c>
      <c r="F49">
        <v>176</v>
      </c>
      <c r="G49">
        <v>59</v>
      </c>
      <c r="H49">
        <v>39</v>
      </c>
      <c r="I49">
        <v>25</v>
      </c>
      <c r="J49">
        <v>65</v>
      </c>
      <c r="K49">
        <v>102</v>
      </c>
    </row>
    <row r="50" spans="1:11" x14ac:dyDescent="0.3">
      <c r="A50" s="6" t="s">
        <v>8</v>
      </c>
      <c r="B50">
        <v>-47</v>
      </c>
      <c r="C50">
        <v>51</v>
      </c>
      <c r="D50">
        <v>86</v>
      </c>
      <c r="E50">
        <v>177</v>
      </c>
      <c r="F50">
        <v>226</v>
      </c>
      <c r="G50">
        <v>162</v>
      </c>
      <c r="H50">
        <v>72</v>
      </c>
      <c r="I50">
        <v>115</v>
      </c>
      <c r="J50">
        <v>239</v>
      </c>
      <c r="K50">
        <v>368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/>
      <c r="C56" s="12"/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D57">
        <v>0.03</v>
      </c>
      <c r="E57">
        <v>0.03</v>
      </c>
      <c r="F57">
        <v>0.03</v>
      </c>
      <c r="H57">
        <v>764.3</v>
      </c>
      <c r="I57">
        <v>836</v>
      </c>
      <c r="J57">
        <v>868</v>
      </c>
      <c r="K57">
        <v>907</v>
      </c>
    </row>
    <row r="58" spans="1:11" x14ac:dyDescent="0.3">
      <c r="A58" s="6" t="s">
        <v>25</v>
      </c>
      <c r="D58">
        <v>1036.06</v>
      </c>
      <c r="E58">
        <v>2355.61</v>
      </c>
      <c r="F58">
        <v>457.35</v>
      </c>
      <c r="G58">
        <v>7643.8</v>
      </c>
      <c r="H58">
        <v>15741.2</v>
      </c>
      <c r="I58">
        <v>18624</v>
      </c>
      <c r="J58">
        <v>19545</v>
      </c>
      <c r="K58">
        <v>29410</v>
      </c>
    </row>
    <row r="59" spans="1:11" x14ac:dyDescent="0.3">
      <c r="A59" s="6" t="s">
        <v>71</v>
      </c>
      <c r="D59">
        <v>186.23</v>
      </c>
      <c r="E59">
        <v>347.94</v>
      </c>
      <c r="F59">
        <v>325.58</v>
      </c>
      <c r="G59">
        <v>527.4</v>
      </c>
      <c r="H59">
        <v>70.3</v>
      </c>
      <c r="I59">
        <v>507</v>
      </c>
      <c r="J59">
        <v>749</v>
      </c>
      <c r="K59">
        <v>2045</v>
      </c>
    </row>
    <row r="60" spans="1:11" x14ac:dyDescent="0.3">
      <c r="A60" s="6" t="s">
        <v>72</v>
      </c>
      <c r="D60">
        <v>152.16999999999999</v>
      </c>
      <c r="E60">
        <v>709.3</v>
      </c>
      <c r="F60">
        <v>2117.4299999999998</v>
      </c>
      <c r="G60">
        <v>532.29999999999995</v>
      </c>
      <c r="H60">
        <v>751.2</v>
      </c>
      <c r="I60">
        <v>1632</v>
      </c>
      <c r="J60">
        <v>2194</v>
      </c>
      <c r="K60">
        <v>3261</v>
      </c>
    </row>
    <row r="61" spans="1:11" s="1" customFormat="1" x14ac:dyDescent="0.3">
      <c r="A61" s="1" t="s">
        <v>26</v>
      </c>
      <c r="D61">
        <v>1374.49</v>
      </c>
      <c r="E61">
        <v>3412.88</v>
      </c>
      <c r="F61">
        <v>2900.39</v>
      </c>
      <c r="G61">
        <v>8703.5</v>
      </c>
      <c r="H61">
        <v>17327</v>
      </c>
      <c r="I61">
        <v>21599</v>
      </c>
      <c r="J61">
        <v>23356</v>
      </c>
      <c r="K61">
        <v>35623</v>
      </c>
    </row>
    <row r="62" spans="1:11" x14ac:dyDescent="0.3">
      <c r="A62" s="6" t="s">
        <v>27</v>
      </c>
      <c r="D62">
        <v>189.8</v>
      </c>
      <c r="E62">
        <v>389.08</v>
      </c>
      <c r="F62">
        <v>1590.55</v>
      </c>
      <c r="G62">
        <v>1539</v>
      </c>
      <c r="H62">
        <v>1404.3</v>
      </c>
      <c r="I62">
        <v>6344</v>
      </c>
      <c r="J62">
        <v>6448</v>
      </c>
      <c r="K62">
        <v>9532</v>
      </c>
    </row>
    <row r="63" spans="1:11" x14ac:dyDescent="0.3">
      <c r="A63" s="6" t="s">
        <v>28</v>
      </c>
      <c r="D63">
        <v>1.29</v>
      </c>
      <c r="E63">
        <v>0.74</v>
      </c>
      <c r="F63">
        <v>0.96</v>
      </c>
      <c r="G63">
        <v>0.1</v>
      </c>
      <c r="H63">
        <v>0.6</v>
      </c>
      <c r="I63">
        <v>7</v>
      </c>
      <c r="J63">
        <v>18</v>
      </c>
      <c r="K63">
        <v>51</v>
      </c>
    </row>
    <row r="64" spans="1:11" x14ac:dyDescent="0.3">
      <c r="A64" s="6" t="s">
        <v>29</v>
      </c>
      <c r="D64">
        <v>829.23</v>
      </c>
      <c r="E64">
        <v>2144.5500000000002</v>
      </c>
      <c r="F64">
        <v>323.92</v>
      </c>
      <c r="G64">
        <v>2205.1999999999998</v>
      </c>
      <c r="H64">
        <v>4717.7</v>
      </c>
      <c r="I64">
        <v>6765</v>
      </c>
      <c r="J64">
        <v>11645</v>
      </c>
      <c r="K64">
        <v>13192</v>
      </c>
    </row>
    <row r="65" spans="1:11" x14ac:dyDescent="0.3">
      <c r="A65" s="6" t="s">
        <v>73</v>
      </c>
      <c r="D65">
        <v>354.17</v>
      </c>
      <c r="E65">
        <v>878.51</v>
      </c>
      <c r="F65">
        <v>984.96</v>
      </c>
      <c r="G65">
        <v>4959.2</v>
      </c>
      <c r="H65">
        <v>11204.4</v>
      </c>
      <c r="I65">
        <v>8483</v>
      </c>
      <c r="J65">
        <v>5245</v>
      </c>
      <c r="K65">
        <v>12848</v>
      </c>
    </row>
    <row r="66" spans="1:11" s="1" customFormat="1" x14ac:dyDescent="0.3">
      <c r="A66" s="1" t="s">
        <v>26</v>
      </c>
      <c r="D66">
        <v>1374.49</v>
      </c>
      <c r="E66">
        <v>3412.88</v>
      </c>
      <c r="F66">
        <v>2900.39</v>
      </c>
      <c r="G66">
        <v>8703.5</v>
      </c>
      <c r="H66">
        <v>17327</v>
      </c>
      <c r="I66">
        <v>21599</v>
      </c>
      <c r="J66">
        <v>23356</v>
      </c>
      <c r="K66">
        <v>35623</v>
      </c>
    </row>
    <row r="67" spans="1:11" s="6" customFormat="1" x14ac:dyDescent="0.3">
      <c r="A67" s="6" t="s">
        <v>78</v>
      </c>
      <c r="D67">
        <v>26.08</v>
      </c>
      <c r="E67">
        <v>70.34</v>
      </c>
      <c r="F67">
        <v>123.12</v>
      </c>
      <c r="G67">
        <v>129.9</v>
      </c>
      <c r="H67">
        <v>159.9</v>
      </c>
      <c r="I67">
        <v>457</v>
      </c>
      <c r="J67">
        <v>794</v>
      </c>
      <c r="K67">
        <v>1946</v>
      </c>
    </row>
    <row r="68" spans="1:11" x14ac:dyDescent="0.3">
      <c r="A68" s="6" t="s">
        <v>45</v>
      </c>
      <c r="E68">
        <v>2.13</v>
      </c>
      <c r="F68">
        <v>3.73</v>
      </c>
      <c r="G68">
        <v>14.8</v>
      </c>
      <c r="H68">
        <v>39.700000000000003</v>
      </c>
      <c r="I68">
        <v>83</v>
      </c>
      <c r="J68">
        <v>88</v>
      </c>
      <c r="K68">
        <v>176</v>
      </c>
    </row>
    <row r="69" spans="1:11" x14ac:dyDescent="0.3">
      <c r="A69" s="4" t="s">
        <v>87</v>
      </c>
      <c r="D69">
        <v>208.07</v>
      </c>
      <c r="E69">
        <v>238.69</v>
      </c>
      <c r="F69">
        <v>359.88</v>
      </c>
      <c r="G69">
        <v>903.6</v>
      </c>
      <c r="H69">
        <v>1575.5</v>
      </c>
      <c r="I69">
        <v>1017</v>
      </c>
      <c r="J69">
        <v>731</v>
      </c>
      <c r="K69">
        <v>3614</v>
      </c>
    </row>
    <row r="70" spans="1:11" x14ac:dyDescent="0.3">
      <c r="A70" s="4" t="s">
        <v>74</v>
      </c>
      <c r="D70">
        <v>337694</v>
      </c>
      <c r="E70">
        <v>337694</v>
      </c>
      <c r="F70">
        <v>337694</v>
      </c>
      <c r="G70">
        <v>309711</v>
      </c>
      <c r="H70">
        <v>7642940578</v>
      </c>
      <c r="I70">
        <v>8363975413</v>
      </c>
      <c r="J70">
        <v>8680255038</v>
      </c>
      <c r="K70">
        <v>9070000000</v>
      </c>
    </row>
    <row r="71" spans="1:11" x14ac:dyDescent="0.3">
      <c r="A71" s="4" t="s">
        <v>75</v>
      </c>
      <c r="J71">
        <v>32503548</v>
      </c>
    </row>
    <row r="72" spans="1:11" x14ac:dyDescent="0.3">
      <c r="A72" s="4" t="s">
        <v>88</v>
      </c>
      <c r="D72">
        <v>1</v>
      </c>
      <c r="E72">
        <v>1</v>
      </c>
      <c r="F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/>
      <c r="C81" s="12"/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F82">
        <v>-2143.63</v>
      </c>
      <c r="G82">
        <v>-1017.9</v>
      </c>
      <c r="H82">
        <v>-693</v>
      </c>
      <c r="I82">
        <v>-844</v>
      </c>
      <c r="J82">
        <v>646</v>
      </c>
      <c r="K82">
        <v>308</v>
      </c>
    </row>
    <row r="83" spans="1:11" s="6" customFormat="1" x14ac:dyDescent="0.3">
      <c r="A83" s="6" t="s">
        <v>33</v>
      </c>
      <c r="F83">
        <v>1739.51</v>
      </c>
      <c r="G83">
        <v>-5244.6</v>
      </c>
      <c r="H83">
        <v>-7971</v>
      </c>
      <c r="I83">
        <v>797</v>
      </c>
      <c r="J83">
        <v>-348</v>
      </c>
      <c r="K83">
        <v>-7993</v>
      </c>
    </row>
    <row r="84" spans="1:11" s="6" customFormat="1" x14ac:dyDescent="0.3">
      <c r="A84" s="6" t="s">
        <v>34</v>
      </c>
      <c r="F84">
        <v>358.91</v>
      </c>
      <c r="G84">
        <v>6401.9</v>
      </c>
      <c r="H84">
        <v>8749.7999999999993</v>
      </c>
      <c r="I84">
        <v>-127</v>
      </c>
      <c r="J84">
        <v>-207</v>
      </c>
      <c r="K84">
        <v>8042</v>
      </c>
    </row>
    <row r="85" spans="1:11" s="1" customFormat="1" x14ac:dyDescent="0.3">
      <c r="A85" s="6" t="s">
        <v>35</v>
      </c>
      <c r="F85">
        <v>-45.22</v>
      </c>
      <c r="G85">
        <v>139.4</v>
      </c>
      <c r="H85">
        <v>85.8</v>
      </c>
      <c r="I85">
        <v>-174</v>
      </c>
      <c r="J85">
        <v>91</v>
      </c>
      <c r="K85">
        <v>357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H90">
        <v>82.3</v>
      </c>
      <c r="I90">
        <v>51</v>
      </c>
      <c r="J90">
        <v>182.1</v>
      </c>
      <c r="K90">
        <v>201.7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f>IF($B7&gt;0,(B70*B72/$B7)+SUM(C71:$K71),0)/10000000</f>
        <v>3.2503548000000002</v>
      </c>
      <c r="C93" s="24">
        <f>IF($B7&gt;0,(C70*C72/$B7)+SUM(D71:$K71),0)/10000000</f>
        <v>3.2503548000000002</v>
      </c>
      <c r="D93" s="24">
        <v>0.03</v>
      </c>
      <c r="E93" s="24">
        <v>0.03</v>
      </c>
      <c r="F93" s="24">
        <v>0.03</v>
      </c>
      <c r="G93" s="24">
        <v>0.04</v>
      </c>
      <c r="H93" s="24">
        <v>787.19</v>
      </c>
      <c r="I93" s="24">
        <v>855.35</v>
      </c>
      <c r="J93" s="24">
        <v>881.98</v>
      </c>
      <c r="K93" s="24">
        <v>965.04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Profit &amp; Loss</vt:lpstr>
      <vt:lpstr>Final Dashboard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Yash Barewar</cp:lastModifiedBy>
  <cp:lastPrinted>2012-12-06T18:14:13Z</cp:lastPrinted>
  <dcterms:created xsi:type="dcterms:W3CDTF">2012-08-17T09:55:37Z</dcterms:created>
  <dcterms:modified xsi:type="dcterms:W3CDTF">2026-02-21T10:53:37Z</dcterms:modified>
</cp:coreProperties>
</file>