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E:\Teamplates &amp; Projects\"/>
    </mc:Choice>
  </mc:AlternateContent>
  <xr:revisionPtr revIDLastSave="0" documentId="13_ncr:1_{1BAE6455-79C6-49DF-B782-FA4A5BEAB71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Financials&gt;" sheetId="9" r:id="rId1"/>
    <sheet name="Common Size Statement" sheetId="11" r:id="rId2"/>
    <sheet name="Cashflow Data" sheetId="10" r:id="rId3"/>
    <sheet name="Data Sheet" sheetId="6" r:id="rId4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L31" i="11" l="1"/>
  <c r="K31" i="11"/>
  <c r="J31" i="11"/>
  <c r="I31" i="11"/>
  <c r="H31" i="11"/>
  <c r="G31" i="11"/>
  <c r="F31" i="11"/>
  <c r="E31" i="11"/>
  <c r="D31" i="11"/>
  <c r="L30" i="11"/>
  <c r="K30" i="11"/>
  <c r="J30" i="11"/>
  <c r="I30" i="11"/>
  <c r="H30" i="11"/>
  <c r="G30" i="11"/>
  <c r="F30" i="11"/>
  <c r="E30" i="11"/>
  <c r="D30" i="11"/>
  <c r="L29" i="11"/>
  <c r="K29" i="11"/>
  <c r="J29" i="11"/>
  <c r="I29" i="11"/>
  <c r="H29" i="11"/>
  <c r="G29" i="11"/>
  <c r="F29" i="11"/>
  <c r="E29" i="11"/>
  <c r="D29" i="11"/>
  <c r="L28" i="11"/>
  <c r="K28" i="11"/>
  <c r="J28" i="11"/>
  <c r="I28" i="11"/>
  <c r="H28" i="11"/>
  <c r="G28" i="11"/>
  <c r="F28" i="11"/>
  <c r="E28" i="11"/>
  <c r="D28" i="11"/>
  <c r="C31" i="11"/>
  <c r="C29" i="11"/>
  <c r="C28" i="11"/>
  <c r="C30" i="11"/>
  <c r="B37" i="11"/>
  <c r="L72" i="6"/>
  <c r="L37" i="11"/>
  <c r="K37" i="11"/>
  <c r="J37" i="11"/>
  <c r="I37" i="11"/>
  <c r="H37" i="11"/>
  <c r="G37" i="11"/>
  <c r="F37" i="11"/>
  <c r="E37" i="11"/>
  <c r="D37" i="11"/>
  <c r="C37" i="11"/>
  <c r="L36" i="11"/>
  <c r="K36" i="11"/>
  <c r="J36" i="11"/>
  <c r="I36" i="11"/>
  <c r="H36" i="11"/>
  <c r="G36" i="11"/>
  <c r="F36" i="11"/>
  <c r="E36" i="11"/>
  <c r="D36" i="11"/>
  <c r="L35" i="11"/>
  <c r="K35" i="11"/>
  <c r="J35" i="11"/>
  <c r="I35" i="11"/>
  <c r="H35" i="11"/>
  <c r="G35" i="11"/>
  <c r="F35" i="11"/>
  <c r="E35" i="11"/>
  <c r="D35" i="11"/>
  <c r="L34" i="11"/>
  <c r="K34" i="11"/>
  <c r="J34" i="11"/>
  <c r="I34" i="11"/>
  <c r="H34" i="11"/>
  <c r="G34" i="11"/>
  <c r="F34" i="11"/>
  <c r="E34" i="11"/>
  <c r="D34" i="11"/>
  <c r="C36" i="11"/>
  <c r="C35" i="11"/>
  <c r="C34" i="11"/>
  <c r="L33" i="11"/>
  <c r="K33" i="11"/>
  <c r="J33" i="11"/>
  <c r="I33" i="11"/>
  <c r="H33" i="11"/>
  <c r="G33" i="11"/>
  <c r="F33" i="11"/>
  <c r="E33" i="11"/>
  <c r="D33" i="11"/>
  <c r="C33" i="11"/>
  <c r="K75" i="6"/>
  <c r="J75" i="6"/>
  <c r="I75" i="6"/>
  <c r="H75" i="6"/>
  <c r="G75" i="6"/>
  <c r="F75" i="6"/>
  <c r="E75" i="6"/>
  <c r="D75" i="6"/>
  <c r="C75" i="6"/>
  <c r="B75" i="6"/>
  <c r="L27" i="11"/>
  <c r="K27" i="11"/>
  <c r="J27" i="11"/>
  <c r="I27" i="11"/>
  <c r="H27" i="11"/>
  <c r="G27" i="11"/>
  <c r="F27" i="11"/>
  <c r="E27" i="11"/>
  <c r="D27" i="11"/>
  <c r="C27" i="11"/>
  <c r="L25" i="11"/>
  <c r="K25" i="11"/>
  <c r="J25" i="11"/>
  <c r="I25" i="11"/>
  <c r="H25" i="11"/>
  <c r="G25" i="11"/>
  <c r="F25" i="11"/>
  <c r="E25" i="11"/>
  <c r="D25" i="11"/>
  <c r="C25" i="11"/>
  <c r="B36" i="11"/>
  <c r="B35" i="11"/>
  <c r="B34" i="11"/>
  <c r="B31" i="11"/>
  <c r="B30" i="11"/>
  <c r="B29" i="11"/>
  <c r="B28" i="11"/>
  <c r="B23" i="11"/>
  <c r="B2" i="11"/>
  <c r="F21" i="11"/>
  <c r="E21" i="11"/>
  <c r="D21" i="11"/>
  <c r="C21" i="11"/>
  <c r="C7" i="11"/>
  <c r="D7" i="11"/>
  <c r="E7" i="11"/>
  <c r="F7" i="11"/>
  <c r="G7" i="11"/>
  <c r="H7" i="11"/>
  <c r="I7" i="11"/>
  <c r="J7" i="11"/>
  <c r="K7" i="11"/>
  <c r="L7" i="11"/>
  <c r="C8" i="11"/>
  <c r="D8" i="11"/>
  <c r="E8" i="11"/>
  <c r="F8" i="11"/>
  <c r="G8" i="11"/>
  <c r="H8" i="11"/>
  <c r="I8" i="11"/>
  <c r="J8" i="11"/>
  <c r="K8" i="11"/>
  <c r="L8" i="11"/>
  <c r="C9" i="11"/>
  <c r="D9" i="11"/>
  <c r="E9" i="11"/>
  <c r="F9" i="11"/>
  <c r="G9" i="11"/>
  <c r="H9" i="11"/>
  <c r="I9" i="11"/>
  <c r="J9" i="11"/>
  <c r="K9" i="11"/>
  <c r="L9" i="11"/>
  <c r="C10" i="11"/>
  <c r="D10" i="11"/>
  <c r="E10" i="11"/>
  <c r="F10" i="11"/>
  <c r="G10" i="11"/>
  <c r="H10" i="11"/>
  <c r="I10" i="11"/>
  <c r="J10" i="11"/>
  <c r="K10" i="11"/>
  <c r="L10" i="11"/>
  <c r="C11" i="11"/>
  <c r="D11" i="11"/>
  <c r="E11" i="11"/>
  <c r="F11" i="11"/>
  <c r="G11" i="11"/>
  <c r="H11" i="11"/>
  <c r="I11" i="11"/>
  <c r="J11" i="11"/>
  <c r="K11" i="11"/>
  <c r="L11" i="11"/>
  <c r="C12" i="11"/>
  <c r="D12" i="11"/>
  <c r="E12" i="11"/>
  <c r="F12" i="11"/>
  <c r="G12" i="11"/>
  <c r="H12" i="11"/>
  <c r="I12" i="11"/>
  <c r="J12" i="11"/>
  <c r="K12" i="11"/>
  <c r="L12" i="11"/>
  <c r="C13" i="11"/>
  <c r="D13" i="11"/>
  <c r="E13" i="11"/>
  <c r="F13" i="11"/>
  <c r="G13" i="11"/>
  <c r="H13" i="11"/>
  <c r="I13" i="11"/>
  <c r="J13" i="11"/>
  <c r="K13" i="11"/>
  <c r="L13" i="11"/>
  <c r="C14" i="11"/>
  <c r="D14" i="11"/>
  <c r="E14" i="11"/>
  <c r="F14" i="11"/>
  <c r="G14" i="11"/>
  <c r="H14" i="11"/>
  <c r="I14" i="11"/>
  <c r="J14" i="11"/>
  <c r="K14" i="11"/>
  <c r="L14" i="11"/>
  <c r="C15" i="11"/>
  <c r="D15" i="11"/>
  <c r="E15" i="11"/>
  <c r="F15" i="11"/>
  <c r="G15" i="11"/>
  <c r="H15" i="11"/>
  <c r="I15" i="11"/>
  <c r="J15" i="11"/>
  <c r="K15" i="11"/>
  <c r="L15" i="11"/>
  <c r="C16" i="11"/>
  <c r="D16" i="11"/>
  <c r="E16" i="11"/>
  <c r="F16" i="11"/>
  <c r="G16" i="11"/>
  <c r="H16" i="11"/>
  <c r="I16" i="11"/>
  <c r="J16" i="11"/>
  <c r="K16" i="11"/>
  <c r="L16" i="11"/>
  <c r="C17" i="11"/>
  <c r="D17" i="11"/>
  <c r="E17" i="11"/>
  <c r="F17" i="11"/>
  <c r="G17" i="11"/>
  <c r="H17" i="11"/>
  <c r="I17" i="11"/>
  <c r="J17" i="11"/>
  <c r="K17" i="11"/>
  <c r="L17" i="11"/>
  <c r="C18" i="11"/>
  <c r="D18" i="11"/>
  <c r="E18" i="11"/>
  <c r="F18" i="11"/>
  <c r="G18" i="11"/>
  <c r="H18" i="11"/>
  <c r="I18" i="11"/>
  <c r="J18" i="11"/>
  <c r="K18" i="11"/>
  <c r="L18" i="11"/>
  <c r="C19" i="11"/>
  <c r="D19" i="11"/>
  <c r="E19" i="11"/>
  <c r="F19" i="11"/>
  <c r="G19" i="11"/>
  <c r="H19" i="11"/>
  <c r="I19" i="11"/>
  <c r="J19" i="11"/>
  <c r="K19" i="11"/>
  <c r="L19" i="11"/>
  <c r="C20" i="11"/>
  <c r="D20" i="11"/>
  <c r="E20" i="11"/>
  <c r="F20" i="11"/>
  <c r="G20" i="11"/>
  <c r="H20" i="11"/>
  <c r="I20" i="11"/>
  <c r="J20" i="11"/>
  <c r="K20" i="11"/>
  <c r="L20" i="11"/>
  <c r="L6" i="11"/>
  <c r="K6" i="11"/>
  <c r="J6" i="11"/>
  <c r="I6" i="11"/>
  <c r="H6" i="11"/>
  <c r="G6" i="11"/>
  <c r="F6" i="11"/>
  <c r="E6" i="11"/>
  <c r="D6" i="11"/>
  <c r="C6" i="11"/>
  <c r="B21" i="11"/>
  <c r="K33" i="6"/>
  <c r="L21" i="11" s="1"/>
  <c r="J33" i="6"/>
  <c r="K21" i="11" s="1"/>
  <c r="I33" i="6"/>
  <c r="J21" i="11" s="1"/>
  <c r="H33" i="6"/>
  <c r="I21" i="11" s="1"/>
  <c r="G33" i="6"/>
  <c r="H21" i="11" s="1"/>
  <c r="F33" i="6"/>
  <c r="G21" i="11" s="1"/>
  <c r="E33" i="6"/>
  <c r="D33" i="6"/>
  <c r="C33" i="6"/>
  <c r="B33" i="6"/>
  <c r="B20" i="11"/>
  <c r="B19" i="11"/>
  <c r="B18" i="11"/>
  <c r="B17" i="11"/>
  <c r="B16" i="11"/>
  <c r="B15" i="11"/>
  <c r="B14" i="11"/>
  <c r="B13" i="11"/>
  <c r="B12" i="11"/>
  <c r="B11" i="11"/>
  <c r="B10" i="11"/>
  <c r="B9" i="11"/>
  <c r="B8" i="11"/>
  <c r="B7" i="11"/>
  <c r="B6" i="11"/>
  <c r="L4" i="11"/>
  <c r="K4" i="11"/>
  <c r="J4" i="11"/>
  <c r="I4" i="11"/>
  <c r="H4" i="11"/>
  <c r="G4" i="11"/>
  <c r="F4" i="11"/>
  <c r="E4" i="11"/>
  <c r="D4" i="11"/>
  <c r="C4" i="11"/>
  <c r="L92" i="9"/>
  <c r="K92" i="9"/>
  <c r="J92" i="9"/>
  <c r="I92" i="9"/>
  <c r="H92" i="9"/>
  <c r="G92" i="9"/>
  <c r="F92" i="9"/>
  <c r="E92" i="9"/>
  <c r="D92" i="9"/>
  <c r="L91" i="9"/>
  <c r="K91" i="9"/>
  <c r="J91" i="9"/>
  <c r="I91" i="9"/>
  <c r="H91" i="9"/>
  <c r="G91" i="9"/>
  <c r="F91" i="9"/>
  <c r="E91" i="9"/>
  <c r="D91" i="9"/>
  <c r="L90" i="9"/>
  <c r="K90" i="9"/>
  <c r="J90" i="9"/>
  <c r="I90" i="9"/>
  <c r="H90" i="9"/>
  <c r="G90" i="9"/>
  <c r="F90" i="9"/>
  <c r="E90" i="9"/>
  <c r="D90" i="9"/>
  <c r="L89" i="9"/>
  <c r="K89" i="9"/>
  <c r="J89" i="9"/>
  <c r="I89" i="9"/>
  <c r="H89" i="9"/>
  <c r="G89" i="9"/>
  <c r="F89" i="9"/>
  <c r="E89" i="9"/>
  <c r="D89" i="9"/>
  <c r="L88" i="9"/>
  <c r="K88" i="9"/>
  <c r="J88" i="9"/>
  <c r="I88" i="9"/>
  <c r="H88" i="9"/>
  <c r="G88" i="9"/>
  <c r="F88" i="9"/>
  <c r="E88" i="9"/>
  <c r="D88" i="9"/>
  <c r="L87" i="9"/>
  <c r="K87" i="9"/>
  <c r="J87" i="9"/>
  <c r="I87" i="9"/>
  <c r="H87" i="9"/>
  <c r="G87" i="9"/>
  <c r="F87" i="9"/>
  <c r="E87" i="9"/>
  <c r="D87" i="9"/>
  <c r="C92" i="9"/>
  <c r="C91" i="9"/>
  <c r="C90" i="9"/>
  <c r="C89" i="9"/>
  <c r="C88" i="9"/>
  <c r="C87" i="9"/>
  <c r="L83" i="9"/>
  <c r="K83" i="9"/>
  <c r="J83" i="9"/>
  <c r="I83" i="9"/>
  <c r="H83" i="9"/>
  <c r="G83" i="9"/>
  <c r="F83" i="9"/>
  <c r="E83" i="9"/>
  <c r="D83" i="9"/>
  <c r="L82" i="9"/>
  <c r="K82" i="9"/>
  <c r="J82" i="9"/>
  <c r="I82" i="9"/>
  <c r="H82" i="9"/>
  <c r="G82" i="9"/>
  <c r="F82" i="9"/>
  <c r="E82" i="9"/>
  <c r="D82" i="9"/>
  <c r="L81" i="9"/>
  <c r="K81" i="9"/>
  <c r="J81" i="9"/>
  <c r="I81" i="9"/>
  <c r="H81" i="9"/>
  <c r="G81" i="9"/>
  <c r="F81" i="9"/>
  <c r="E81" i="9"/>
  <c r="D81" i="9"/>
  <c r="L80" i="9"/>
  <c r="K80" i="9"/>
  <c r="J80" i="9"/>
  <c r="I80" i="9"/>
  <c r="H80" i="9"/>
  <c r="G80" i="9"/>
  <c r="F80" i="9"/>
  <c r="E80" i="9"/>
  <c r="D80" i="9"/>
  <c r="L79" i="9"/>
  <c r="K79" i="9"/>
  <c r="J79" i="9"/>
  <c r="I79" i="9"/>
  <c r="H79" i="9"/>
  <c r="G79" i="9"/>
  <c r="F79" i="9"/>
  <c r="E79" i="9"/>
  <c r="D79" i="9"/>
  <c r="L78" i="9"/>
  <c r="K78" i="9"/>
  <c r="J78" i="9"/>
  <c r="I78" i="9"/>
  <c r="H78" i="9"/>
  <c r="G78" i="9"/>
  <c r="F78" i="9"/>
  <c r="E78" i="9"/>
  <c r="D78" i="9"/>
  <c r="L77" i="9"/>
  <c r="K77" i="9"/>
  <c r="J77" i="9"/>
  <c r="I77" i="9"/>
  <c r="H77" i="9"/>
  <c r="G77" i="9"/>
  <c r="F77" i="9"/>
  <c r="E77" i="9"/>
  <c r="D77" i="9"/>
  <c r="C83" i="9"/>
  <c r="C82" i="9"/>
  <c r="C81" i="9"/>
  <c r="C80" i="9"/>
  <c r="C79" i="9"/>
  <c r="C78" i="9"/>
  <c r="C77" i="9"/>
  <c r="L73" i="9"/>
  <c r="K73" i="9"/>
  <c r="J73" i="9"/>
  <c r="I73" i="9"/>
  <c r="H73" i="9"/>
  <c r="G73" i="9"/>
  <c r="F73" i="9"/>
  <c r="E73" i="9"/>
  <c r="D73" i="9"/>
  <c r="L72" i="9"/>
  <c r="K72" i="9"/>
  <c r="J72" i="9"/>
  <c r="I72" i="9"/>
  <c r="H72" i="9"/>
  <c r="G72" i="9"/>
  <c r="F72" i="9"/>
  <c r="E72" i="9"/>
  <c r="D72" i="9"/>
  <c r="L71" i="9"/>
  <c r="K71" i="9"/>
  <c r="J71" i="9"/>
  <c r="I71" i="9"/>
  <c r="H71" i="9"/>
  <c r="G71" i="9"/>
  <c r="F71" i="9"/>
  <c r="E71" i="9"/>
  <c r="D71" i="9"/>
  <c r="L70" i="9"/>
  <c r="K70" i="9"/>
  <c r="J70" i="9"/>
  <c r="I70" i="9"/>
  <c r="H70" i="9"/>
  <c r="G70" i="9"/>
  <c r="F70" i="9"/>
  <c r="E70" i="9"/>
  <c r="D70" i="9"/>
  <c r="L69" i="9"/>
  <c r="K69" i="9"/>
  <c r="J69" i="9"/>
  <c r="I69" i="9"/>
  <c r="H69" i="9"/>
  <c r="G69" i="9"/>
  <c r="F69" i="9"/>
  <c r="E69" i="9"/>
  <c r="D69" i="9"/>
  <c r="L68" i="9"/>
  <c r="K68" i="9"/>
  <c r="J68" i="9"/>
  <c r="I68" i="9"/>
  <c r="H68" i="9"/>
  <c r="G68" i="9"/>
  <c r="F68" i="9"/>
  <c r="E68" i="9"/>
  <c r="D68" i="9"/>
  <c r="L67" i="9"/>
  <c r="K67" i="9"/>
  <c r="J67" i="9"/>
  <c r="I67" i="9"/>
  <c r="H67" i="9"/>
  <c r="G67" i="9"/>
  <c r="F67" i="9"/>
  <c r="E67" i="9"/>
  <c r="D67" i="9"/>
  <c r="C73" i="9"/>
  <c r="C72" i="9"/>
  <c r="C71" i="9"/>
  <c r="C70" i="9"/>
  <c r="C69" i="9"/>
  <c r="C68" i="9"/>
  <c r="C67" i="9"/>
  <c r="M67" i="9"/>
  <c r="C5" i="9"/>
  <c r="M92" i="9"/>
  <c r="M91" i="9"/>
  <c r="M90" i="9"/>
  <c r="M89" i="9"/>
  <c r="M88" i="9"/>
  <c r="M87" i="9"/>
  <c r="M83" i="9"/>
  <c r="M82" i="9"/>
  <c r="M81" i="9"/>
  <c r="M80" i="9"/>
  <c r="M79" i="9"/>
  <c r="M78" i="9"/>
  <c r="M77" i="9"/>
  <c r="M73" i="9"/>
  <c r="M72" i="9"/>
  <c r="M71" i="9"/>
  <c r="M70" i="9"/>
  <c r="M69" i="9"/>
  <c r="M68" i="9"/>
  <c r="M58" i="9"/>
  <c r="L58" i="9"/>
  <c r="K58" i="9"/>
  <c r="J58" i="9"/>
  <c r="I58" i="9"/>
  <c r="H58" i="9"/>
  <c r="G58" i="9"/>
  <c r="F58" i="9"/>
  <c r="E58" i="9"/>
  <c r="D58" i="9"/>
  <c r="C58" i="9"/>
  <c r="M57" i="9"/>
  <c r="L57" i="9"/>
  <c r="K57" i="9"/>
  <c r="J57" i="9"/>
  <c r="I57" i="9"/>
  <c r="H57" i="9"/>
  <c r="G57" i="9"/>
  <c r="F57" i="9"/>
  <c r="E57" i="9"/>
  <c r="D57" i="9"/>
  <c r="C57" i="9"/>
  <c r="M56" i="9"/>
  <c r="L56" i="9"/>
  <c r="K56" i="9"/>
  <c r="J56" i="9"/>
  <c r="I56" i="9"/>
  <c r="H56" i="9"/>
  <c r="G56" i="9"/>
  <c r="F56" i="9"/>
  <c r="E56" i="9"/>
  <c r="D56" i="9"/>
  <c r="C56" i="9"/>
  <c r="M53" i="9"/>
  <c r="L53" i="9"/>
  <c r="K53" i="9"/>
  <c r="J53" i="9"/>
  <c r="I53" i="9"/>
  <c r="H53" i="9"/>
  <c r="G53" i="9"/>
  <c r="F53" i="9"/>
  <c r="E53" i="9"/>
  <c r="D53" i="9"/>
  <c r="C53" i="9"/>
  <c r="M52" i="9"/>
  <c r="L52" i="9"/>
  <c r="K52" i="9"/>
  <c r="J52" i="9"/>
  <c r="I52" i="9"/>
  <c r="H52" i="9"/>
  <c r="G52" i="9"/>
  <c r="F52" i="9"/>
  <c r="E52" i="9"/>
  <c r="D52" i="9"/>
  <c r="C52" i="9"/>
  <c r="M51" i="9"/>
  <c r="L51" i="9"/>
  <c r="K51" i="9"/>
  <c r="J51" i="9"/>
  <c r="I51" i="9"/>
  <c r="H51" i="9"/>
  <c r="G51" i="9"/>
  <c r="F51" i="9"/>
  <c r="E51" i="9"/>
  <c r="D51" i="9"/>
  <c r="C51" i="9"/>
  <c r="M50" i="9"/>
  <c r="L50" i="9"/>
  <c r="K50" i="9"/>
  <c r="J50" i="9"/>
  <c r="I50" i="9"/>
  <c r="H50" i="9"/>
  <c r="G50" i="9"/>
  <c r="F50" i="9"/>
  <c r="E50" i="9"/>
  <c r="D50" i="9"/>
  <c r="C50" i="9"/>
  <c r="M48" i="9"/>
  <c r="L48" i="9"/>
  <c r="K48" i="9"/>
  <c r="J48" i="9"/>
  <c r="I48" i="9"/>
  <c r="H48" i="9"/>
  <c r="G48" i="9"/>
  <c r="F48" i="9"/>
  <c r="E48" i="9"/>
  <c r="D48" i="9"/>
  <c r="C48" i="9"/>
  <c r="M47" i="9"/>
  <c r="L47" i="9"/>
  <c r="K47" i="9"/>
  <c r="J47" i="9"/>
  <c r="I47" i="9"/>
  <c r="H47" i="9"/>
  <c r="G47" i="9"/>
  <c r="F47" i="9"/>
  <c r="E47" i="9"/>
  <c r="D47" i="9"/>
  <c r="C47" i="9"/>
  <c r="M46" i="9"/>
  <c r="L46" i="9"/>
  <c r="K46" i="9"/>
  <c r="J46" i="9"/>
  <c r="I46" i="9"/>
  <c r="H46" i="9"/>
  <c r="G46" i="9"/>
  <c r="F46" i="9"/>
  <c r="E46" i="9"/>
  <c r="D46" i="9"/>
  <c r="C46" i="9"/>
  <c r="M45" i="9"/>
  <c r="L45" i="9"/>
  <c r="K45" i="9"/>
  <c r="J45" i="9"/>
  <c r="I45" i="9"/>
  <c r="H45" i="9"/>
  <c r="G45" i="9"/>
  <c r="F45" i="9"/>
  <c r="E45" i="9"/>
  <c r="D45" i="9"/>
  <c r="C45" i="9"/>
  <c r="M44" i="9"/>
  <c r="L44" i="9"/>
  <c r="K44" i="9"/>
  <c r="J44" i="9"/>
  <c r="I44" i="9"/>
  <c r="H44" i="9"/>
  <c r="G44" i="9"/>
  <c r="F44" i="9"/>
  <c r="E44" i="9"/>
  <c r="D44" i="9"/>
  <c r="C44" i="9"/>
  <c r="M35" i="9"/>
  <c r="M38" i="9" s="1"/>
  <c r="M39" i="9" s="1"/>
  <c r="L35" i="9"/>
  <c r="L38" i="9" s="1"/>
  <c r="L39" i="9" s="1"/>
  <c r="K35" i="9"/>
  <c r="K38" i="9" s="1"/>
  <c r="K39" i="9" s="1"/>
  <c r="J35" i="9"/>
  <c r="J38" i="9" s="1"/>
  <c r="J39" i="9" s="1"/>
  <c r="I35" i="9"/>
  <c r="I38" i="9" s="1"/>
  <c r="I39" i="9" s="1"/>
  <c r="H35" i="9"/>
  <c r="H38" i="9" s="1"/>
  <c r="H39" i="9" s="1"/>
  <c r="G35" i="9"/>
  <c r="G38" i="9" s="1"/>
  <c r="G39" i="9" s="1"/>
  <c r="F35" i="9"/>
  <c r="F38" i="9" s="1"/>
  <c r="F39" i="9" s="1"/>
  <c r="E35" i="9"/>
  <c r="E38" i="9" s="1"/>
  <c r="E39" i="9" s="1"/>
  <c r="D35" i="9"/>
  <c r="D38" i="9" s="1"/>
  <c r="D39" i="9" s="1"/>
  <c r="C35" i="9"/>
  <c r="C38" i="9" s="1"/>
  <c r="C39" i="9" s="1"/>
  <c r="M29" i="9"/>
  <c r="L29" i="9"/>
  <c r="K29" i="9"/>
  <c r="J29" i="9"/>
  <c r="I29" i="9"/>
  <c r="H29" i="9"/>
  <c r="G29" i="9"/>
  <c r="F29" i="9"/>
  <c r="E29" i="9"/>
  <c r="D29" i="9"/>
  <c r="C29" i="9"/>
  <c r="C23" i="9"/>
  <c r="M23" i="9"/>
  <c r="L23" i="9"/>
  <c r="K23" i="9"/>
  <c r="J23" i="9"/>
  <c r="I23" i="9"/>
  <c r="H23" i="9"/>
  <c r="G23" i="9"/>
  <c r="F23" i="9"/>
  <c r="E23" i="9"/>
  <c r="D23" i="9"/>
  <c r="M20" i="9"/>
  <c r="L20" i="9"/>
  <c r="K20" i="9"/>
  <c r="J20" i="9"/>
  <c r="I20" i="9"/>
  <c r="H20" i="9"/>
  <c r="G20" i="9"/>
  <c r="F20" i="9"/>
  <c r="E20" i="9"/>
  <c r="D20" i="9"/>
  <c r="C20" i="9"/>
  <c r="M14" i="9"/>
  <c r="L14" i="9"/>
  <c r="K14" i="9"/>
  <c r="J14" i="9"/>
  <c r="I14" i="9"/>
  <c r="H14" i="9"/>
  <c r="G14" i="9"/>
  <c r="F14" i="9"/>
  <c r="E14" i="9"/>
  <c r="D14" i="9"/>
  <c r="C14" i="9"/>
  <c r="M8" i="9"/>
  <c r="J8" i="9"/>
  <c r="L8" i="9"/>
  <c r="K8" i="9"/>
  <c r="I8" i="9"/>
  <c r="H8" i="9"/>
  <c r="G8" i="9"/>
  <c r="F8" i="9"/>
  <c r="E8" i="9"/>
  <c r="D8" i="9"/>
  <c r="C8" i="9"/>
  <c r="L5" i="9"/>
  <c r="M5" i="9"/>
  <c r="K5" i="9"/>
  <c r="J5" i="9"/>
  <c r="I5" i="9"/>
  <c r="H5" i="9"/>
  <c r="G5" i="9"/>
  <c r="F5" i="9"/>
  <c r="E5" i="9"/>
  <c r="D5" i="9"/>
  <c r="L3" i="9"/>
  <c r="D3" i="9"/>
  <c r="E3" i="9"/>
  <c r="F3" i="9"/>
  <c r="G3" i="9"/>
  <c r="H3" i="9"/>
  <c r="I3" i="9"/>
  <c r="J3" i="9"/>
  <c r="K3" i="9"/>
  <c r="C3" i="9"/>
  <c r="B2" i="9"/>
  <c r="B6" i="6"/>
  <c r="E1" i="6"/>
  <c r="G74" i="9" l="1"/>
  <c r="C84" i="9"/>
  <c r="H74" i="9"/>
  <c r="I74" i="9"/>
  <c r="D84" i="9"/>
  <c r="D74" i="9"/>
  <c r="C74" i="9"/>
  <c r="L74" i="9"/>
  <c r="J74" i="9"/>
  <c r="M74" i="9"/>
  <c r="E74" i="9"/>
  <c r="K74" i="9"/>
  <c r="F74" i="9"/>
  <c r="E21" i="9"/>
  <c r="F21" i="9"/>
  <c r="M93" i="9"/>
  <c r="K11" i="9"/>
  <c r="K12" i="9" s="1"/>
  <c r="I93" i="9"/>
  <c r="K93" i="9"/>
  <c r="J93" i="9"/>
  <c r="L93" i="9"/>
  <c r="E6" i="9"/>
  <c r="F6" i="9"/>
  <c r="D93" i="9"/>
  <c r="D54" i="9"/>
  <c r="I54" i="9"/>
  <c r="E93" i="9"/>
  <c r="E54" i="9"/>
  <c r="F93" i="9"/>
  <c r="C93" i="9"/>
  <c r="G93" i="9"/>
  <c r="D21" i="9"/>
  <c r="H93" i="9"/>
  <c r="J84" i="9"/>
  <c r="L54" i="9"/>
  <c r="K84" i="9"/>
  <c r="M54" i="9"/>
  <c r="F54" i="9"/>
  <c r="G54" i="9"/>
  <c r="K54" i="9"/>
  <c r="E84" i="9"/>
  <c r="H84" i="9"/>
  <c r="I84" i="9"/>
  <c r="C60" i="9"/>
  <c r="L84" i="9"/>
  <c r="M84" i="9"/>
  <c r="J54" i="9"/>
  <c r="F84" i="9"/>
  <c r="M60" i="9"/>
  <c r="G84" i="9"/>
  <c r="C54" i="9"/>
  <c r="H54" i="9"/>
  <c r="H60" i="9"/>
  <c r="J21" i="9"/>
  <c r="L60" i="9"/>
  <c r="E60" i="9"/>
  <c r="I60" i="9"/>
  <c r="H6" i="9"/>
  <c r="I6" i="9"/>
  <c r="K60" i="9"/>
  <c r="F60" i="9"/>
  <c r="J60" i="9"/>
  <c r="G60" i="9"/>
  <c r="I24" i="9"/>
  <c r="M24" i="9"/>
  <c r="D24" i="9"/>
  <c r="K24" i="9"/>
  <c r="C21" i="9"/>
  <c r="K6" i="9"/>
  <c r="G6" i="9"/>
  <c r="E24" i="9"/>
  <c r="D60" i="9"/>
  <c r="J24" i="9"/>
  <c r="J6" i="9"/>
  <c r="C24" i="9"/>
  <c r="F24" i="9"/>
  <c r="G21" i="9"/>
  <c r="H21" i="9"/>
  <c r="I21" i="9"/>
  <c r="L6" i="9"/>
  <c r="G9" i="9"/>
  <c r="H9" i="9"/>
  <c r="C9" i="9"/>
  <c r="I9" i="9"/>
  <c r="K21" i="9"/>
  <c r="K9" i="9"/>
  <c r="L21" i="9"/>
  <c r="E15" i="9"/>
  <c r="L9" i="9"/>
  <c r="M21" i="9"/>
  <c r="G24" i="9"/>
  <c r="F11" i="9"/>
  <c r="F17" i="9" s="1"/>
  <c r="J9" i="9"/>
  <c r="M15" i="9"/>
  <c r="H24" i="9"/>
  <c r="L15" i="9"/>
  <c r="G11" i="9"/>
  <c r="I11" i="9"/>
  <c r="J11" i="9"/>
  <c r="D9" i="9"/>
  <c r="J15" i="9"/>
  <c r="G15" i="9"/>
  <c r="H11" i="9"/>
  <c r="E9" i="9"/>
  <c r="L11" i="9"/>
  <c r="K15" i="9"/>
  <c r="D6" i="9"/>
  <c r="H15" i="9"/>
  <c r="L24" i="9"/>
  <c r="M6" i="9"/>
  <c r="F9" i="9"/>
  <c r="M11" i="9"/>
  <c r="F15" i="9"/>
  <c r="C15" i="9"/>
  <c r="C11" i="9"/>
  <c r="C17" i="9" s="1"/>
  <c r="D15" i="9"/>
  <c r="E11" i="9"/>
  <c r="D11" i="9"/>
  <c r="I15" i="9"/>
  <c r="K17" i="9" l="1"/>
  <c r="K18" i="9" s="1"/>
  <c r="E61" i="9"/>
  <c r="E63" i="9" s="1"/>
  <c r="K61" i="9"/>
  <c r="K63" i="9" s="1"/>
  <c r="J61" i="9"/>
  <c r="J63" i="9" s="1"/>
  <c r="G95" i="9"/>
  <c r="I61" i="9"/>
  <c r="I63" i="9" s="1"/>
  <c r="I95" i="9"/>
  <c r="H95" i="9"/>
  <c r="K95" i="9"/>
  <c r="D61" i="9"/>
  <c r="D63" i="9" s="1"/>
  <c r="C95" i="9"/>
  <c r="D95" i="9"/>
  <c r="G61" i="9"/>
  <c r="G63" i="9" s="1"/>
  <c r="C61" i="9"/>
  <c r="C63" i="9" s="1"/>
  <c r="F61" i="9"/>
  <c r="F63" i="9" s="1"/>
  <c r="J95" i="9"/>
  <c r="M61" i="9"/>
  <c r="M63" i="9" s="1"/>
  <c r="E95" i="9"/>
  <c r="F95" i="9"/>
  <c r="L95" i="9"/>
  <c r="L61" i="9"/>
  <c r="L63" i="9" s="1"/>
  <c r="M95" i="9"/>
  <c r="H61" i="9"/>
  <c r="H63" i="9" s="1"/>
  <c r="F18" i="9"/>
  <c r="F26" i="9"/>
  <c r="F12" i="9"/>
  <c r="D17" i="9"/>
  <c r="D12" i="9"/>
  <c r="E17" i="9"/>
  <c r="E12" i="9"/>
  <c r="J17" i="9"/>
  <c r="J12" i="9"/>
  <c r="I17" i="9"/>
  <c r="I12" i="9"/>
  <c r="L17" i="9"/>
  <c r="L12" i="9"/>
  <c r="G17" i="9"/>
  <c r="G12" i="9"/>
  <c r="H17" i="9"/>
  <c r="H12" i="9"/>
  <c r="C12" i="9"/>
  <c r="M17" i="9"/>
  <c r="M12" i="9"/>
  <c r="K26" i="9" l="1"/>
  <c r="K32" i="9" s="1"/>
  <c r="F32" i="9"/>
  <c r="F27" i="9"/>
  <c r="F30" i="9"/>
  <c r="G18" i="9"/>
  <c r="G26" i="9"/>
  <c r="L18" i="9"/>
  <c r="L26" i="9"/>
  <c r="M18" i="9"/>
  <c r="M26" i="9"/>
  <c r="I18" i="9"/>
  <c r="I26" i="9"/>
  <c r="C18" i="9"/>
  <c r="C26" i="9"/>
  <c r="J18" i="9"/>
  <c r="J26" i="9"/>
  <c r="E18" i="9"/>
  <c r="E26" i="9"/>
  <c r="H18" i="9"/>
  <c r="H26" i="9"/>
  <c r="D18" i="9"/>
  <c r="D26" i="9"/>
  <c r="K30" i="9" l="1"/>
  <c r="K27" i="9"/>
  <c r="F36" i="9"/>
  <c r="F41" i="9" s="1"/>
  <c r="F33" i="9"/>
  <c r="J27" i="9"/>
  <c r="J30" i="9"/>
  <c r="J32" i="9"/>
  <c r="C30" i="9"/>
  <c r="C32" i="9"/>
  <c r="C27" i="9"/>
  <c r="D27" i="9"/>
  <c r="D32" i="9"/>
  <c r="D30" i="9"/>
  <c r="I27" i="9"/>
  <c r="I32" i="9"/>
  <c r="I30" i="9"/>
  <c r="H32" i="9"/>
  <c r="H30" i="9"/>
  <c r="H27" i="9"/>
  <c r="M30" i="9"/>
  <c r="M32" i="9"/>
  <c r="M27" i="9"/>
  <c r="E27" i="9"/>
  <c r="E32" i="9"/>
  <c r="E30" i="9"/>
  <c r="L27" i="9"/>
  <c r="L30" i="9"/>
  <c r="L32" i="9"/>
  <c r="K36" i="9"/>
  <c r="K41" i="9" s="1"/>
  <c r="K33" i="9"/>
  <c r="G32" i="9"/>
  <c r="G27" i="9"/>
  <c r="G30" i="9"/>
  <c r="L36" i="9" l="1"/>
  <c r="L41" i="9" s="1"/>
  <c r="L33" i="9"/>
  <c r="I33" i="9"/>
  <c r="I36" i="9"/>
  <c r="I41" i="9" s="1"/>
  <c r="E33" i="9"/>
  <c r="E36" i="9"/>
  <c r="E41" i="9" s="1"/>
  <c r="D33" i="9"/>
  <c r="D36" i="9"/>
  <c r="D41" i="9" s="1"/>
  <c r="M33" i="9"/>
  <c r="M36" i="9"/>
  <c r="M41" i="9" s="1"/>
  <c r="C36" i="9"/>
  <c r="C41" i="9" s="1"/>
  <c r="C33" i="9"/>
  <c r="G36" i="9"/>
  <c r="G41" i="9" s="1"/>
  <c r="G33" i="9"/>
  <c r="J36" i="9"/>
  <c r="J41" i="9" s="1"/>
  <c r="J33" i="9"/>
  <c r="H33" i="9"/>
  <c r="H36" i="9"/>
  <c r="H41" i="9" s="1"/>
</calcChain>
</file>

<file path=xl/sharedStrings.xml><?xml version="1.0" encoding="utf-8"?>
<sst xmlns="http://schemas.openxmlformats.org/spreadsheetml/2006/main" count="174" uniqueCount="118">
  <si>
    <t>COMPANY NAME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</si>
  <si>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</si>
  <si>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</si>
  <si>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</si>
  <si>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</si>
  <si>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</si>
  <si>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</si>
  <si>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</si>
  <si>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</si>
  <si>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</si>
  <si>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Equity Share Capital</t>
  </si>
  <si>
    <t>Reserves</t>
  </si>
  <si>
    <t>Total</t>
  </si>
  <si>
    <t>Net Block</t>
  </si>
  <si>
    <t>Capital Work in Progress</t>
  </si>
  <si>
    <t>Investments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</si>
  <si>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</si>
  <si>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</si>
  <si>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</si>
  <si>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</si>
  <si>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</si>
  <si>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</si>
  <si>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</si>
  <si>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</si>
  <si>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</si>
  <si>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</si>
  <si>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</si>
  <si>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</si>
  <si>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</si>
  <si>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Inventory</t>
  </si>
  <si>
    <t>LATEST VERSION</t>
  </si>
  <si>
    <t>CURRENT VERSION</t>
  </si>
  <si>
    <t>BAJAJ AUTO LTD</t>
  </si>
  <si>
    <t>META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</si>
  <si>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</si>
  <si>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</si>
  <si>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</si>
  <si>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</si>
  <si>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</si>
  <si>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</si>
  <si>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</si>
  <si>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</si>
  <si>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</si>
  <si>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</si>
  <si>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</si>
  <si>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</si>
  <si>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</si>
  <si>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</si>
  <si>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</si>
  <si>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</si>
  <si>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</si>
  <si>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</si>
  <si>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</si>
  <si>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</si>
  <si>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Years</t>
  </si>
  <si>
    <t>LTM</t>
  </si>
  <si>
    <t>#</t>
  </si>
  <si>
    <t>Income Statement</t>
  </si>
  <si>
    <t>Sales Growth</t>
  </si>
  <si>
    <t>-</t>
  </si>
  <si>
    <t>COGS</t>
  </si>
  <si>
    <t>Gross Margin</t>
  </si>
  <si>
    <t>COGS % Sales</t>
  </si>
  <si>
    <t>Selling And General Expenses</t>
  </si>
  <si>
    <t>S&amp;G Exp %</t>
  </si>
  <si>
    <t>EBITDA</t>
  </si>
  <si>
    <t>EBITDA % Sales</t>
  </si>
  <si>
    <t>Gross Margin % Sales</t>
  </si>
  <si>
    <t>Intrest</t>
  </si>
  <si>
    <t>Intrest % Sales</t>
  </si>
  <si>
    <t>Depreciation % Sales</t>
  </si>
  <si>
    <t>Earning Before Tax</t>
  </si>
  <si>
    <t>EBT % Sales</t>
  </si>
  <si>
    <t>Effective Tax Rate % EBT</t>
  </si>
  <si>
    <t xml:space="preserve">Net Profit </t>
  </si>
  <si>
    <t>Net Margin</t>
  </si>
  <si>
    <t>No. Equity Share Holders</t>
  </si>
  <si>
    <t>Earning per share</t>
  </si>
  <si>
    <t>Dividend Per Share</t>
  </si>
  <si>
    <t>Dividend Payout Ratio %</t>
  </si>
  <si>
    <t>Retained Earning</t>
  </si>
  <si>
    <t>Balance Sheet</t>
  </si>
  <si>
    <t>Equity Share Capitals</t>
  </si>
  <si>
    <t>Total Liabilities</t>
  </si>
  <si>
    <t>Total Non current Assests</t>
  </si>
  <si>
    <t>Total Assests</t>
  </si>
  <si>
    <t>Total Current Assests</t>
  </si>
  <si>
    <t>Check</t>
  </si>
  <si>
    <t>Cashflow Statements</t>
  </si>
  <si>
    <t>Cash from Operating Activity -</t>
  </si>
  <si>
    <t>Profit from operations</t>
  </si>
  <si>
    <t>Payables</t>
  </si>
  <si>
    <t>Loans Advances</t>
  </si>
  <si>
    <t>Other WC items</t>
  </si>
  <si>
    <t>Working capital changes</t>
  </si>
  <si>
    <t>Direct taxes</t>
  </si>
  <si>
    <t>Cash from Investing Activity -</t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</si>
  <si>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</si>
  <si>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</si>
  <si>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</si>
  <si>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</si>
  <si>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</si>
  <si>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</si>
  <si>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Other investing items</t>
  </si>
  <si>
    <t>Cash from Financing Activity -</t>
  </si>
  <si>
    <t>Proceeds from shares</t>
  </si>
  <si>
    <t>Proceeds from borrowings</t>
  </si>
  <si>
    <t>Repayment of borrowings</t>
  </si>
  <si>
    <t>Interest paid fin</t>
  </si>
  <si>
    <t>Dividends paid</t>
  </si>
  <si>
    <t>Other financing items</t>
  </si>
  <si>
    <t>Cash from Operating Activities</t>
  </si>
  <si>
    <t>Cash from Investing Activities</t>
  </si>
  <si>
    <t>Cash From Financing Activities</t>
  </si>
  <si>
    <t>Investment income</t>
  </si>
  <si>
    <t>Particulars</t>
  </si>
  <si>
    <t>Total Assets</t>
  </si>
  <si>
    <t>total assests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</si>
</sst>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 * #,##0.00_ ;_ * \-#,##0.00_ ;_ * &quot;-&quot;??_ ;_ @_ "/>
    <numFmt numFmtId="165" formatCode="[$-409]mmm\-yy;@"/>
    <numFmt numFmtId="166" formatCode="[$₹-439]#,##0.00;\-"/>
    <numFmt numFmtId="167" formatCode="[$₹-439]#,##0.00;[$₹-439]\-#,##0.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i/>
      <sz val="11"/>
      <color rgb="FF4B4B4B"/>
      <name val="Calibri"/>
      <family val="2"/>
      <scheme val="minor"/>
    </font>
    <font>
      <sz val="11"/>
      <color rgb="FF22222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9" fontId="3" fillId="0" borderId="0" applyFont="0" applyFill="0" applyBorder="0" applyAlignment="0" applyProtection="0"/>
  </cellStyleXfs>
  <cellXfs count="36">
    <xf numFmtId="0" fontId="0" fillId="0" borderId="0" xfId="0"/>
    <xf numFmtId="164" fontId="1" fillId="0" borderId="0" xfId="1" applyFont="1" applyBorder="1"/>
    <xf numFmtId="164" fontId="0" fillId="0" borderId="0" xfId="1" applyFont="1" applyBorder="1"/>
    <xf numFmtId="164" fontId="3" fillId="0" borderId="0" xfId="1" applyFont="1" applyBorder="1"/>
    <xf numFmtId="165" fontId="2" fillId="3" borderId="0" xfId="0" applyNumberFormat="1" applyFont="1" applyFill="1" applyAlignment="1">
      <alignment horizontal="center"/>
    </xf>
    <xf numFmtId="165" fontId="2" fillId="3" borderId="0" xfId="1" applyNumberFormat="1" applyFont="1" applyFill="1" applyBorder="1"/>
    <xf numFmtId="165" fontId="6" fillId="0" borderId="0" xfId="1" applyNumberFormat="1" applyFont="1" applyFill="1" applyBorder="1"/>
    <xf numFmtId="43" fontId="0" fillId="0" borderId="0" xfId="1" applyNumberFormat="1" applyFont="1" applyBorder="1"/>
    <xf numFmtId="0" fontId="2" fillId="4" borderId="0" xfId="0" applyFont="1" applyFill="1"/>
    <xf numFmtId="17" fontId="2" fillId="4" borderId="0" xfId="0" applyNumberFormat="1" applyFont="1" applyFill="1"/>
    <xf numFmtId="17" fontId="2" fillId="4" borderId="0" xfId="0" applyNumberFormat="1" applyFont="1" applyFill="1" applyAlignment="1">
      <alignment horizontal="right"/>
    </xf>
    <xf numFmtId="166" fontId="0" fillId="0" borderId="0" xfId="0" applyNumberFormat="1"/>
    <xf numFmtId="10" fontId="0" fillId="0" borderId="0" xfId="0" applyNumberFormat="1"/>
    <xf numFmtId="0" fontId="7" fillId="0" borderId="0" xfId="0" applyFont="1"/>
    <xf numFmtId="0" fontId="7" fillId="0" borderId="0" xfId="0" applyFont="1" applyAlignment="1">
      <alignment horizontal="right"/>
    </xf>
    <xf numFmtId="10" fontId="7" fillId="0" borderId="0" xfId="0" applyNumberFormat="1" applyFont="1"/>
    <xf numFmtId="10" fontId="7" fillId="0" borderId="0" xfId="0" applyNumberFormat="1" applyFont="1" applyAlignment="1">
      <alignment horizontal="right"/>
    </xf>
    <xf numFmtId="167" fontId="0" fillId="0" borderId="0" xfId="0" applyNumberFormat="1"/>
    <xf numFmtId="0" fontId="0" fillId="5" borderId="0" xfId="0" applyFill="1"/>
    <xf numFmtId="2" fontId="7" fillId="0" borderId="0" xfId="0" applyNumberFormat="1" applyFont="1"/>
    <xf numFmtId="164" fontId="1" fillId="0" borderId="0" xfId="1" applyFont="1" applyFill="1" applyBorder="1"/>
    <xf numFmtId="167" fontId="1" fillId="0" borderId="0" xfId="0" applyNumberFormat="1" applyFont="1"/>
    <xf numFmtId="3" fontId="0" fillId="0" borderId="0" xfId="0" applyNumberFormat="1"/>
    <xf numFmtId="0" fontId="1" fillId="0" borderId="0" xfId="0" applyFont="1"/>
    <xf numFmtId="17" fontId="1" fillId="0" borderId="0" xfId="0" applyNumberFormat="1" applyFont="1"/>
    <xf numFmtId="0" fontId="1" fillId="0" borderId="1" xfId="0" applyFont="1" applyBorder="1"/>
    <xf numFmtId="17" fontId="1" fillId="0" borderId="1" xfId="0" applyNumberFormat="1" applyFont="1" applyBorder="1"/>
    <xf numFmtId="10" fontId="1" fillId="0" borderId="0" xfId="4" applyNumberFormat="1" applyFont="1"/>
    <xf numFmtId="10" fontId="0" fillId="0" borderId="0" xfId="4" applyNumberFormat="1" applyFont="1"/>
    <xf numFmtId="9" fontId="0" fillId="0" borderId="0" xfId="0" applyNumberFormat="1"/>
    <xf numFmtId="3" fontId="8" fillId="7" borderId="0" xfId="0" applyNumberFormat="1" applyFont="1" applyFill="1" applyAlignment="1">
      <alignment horizontal="right" vertical="center" wrapText="1"/>
    </xf>
    <xf numFmtId="10" fontId="3" fillId="0" borderId="0" xfId="4" applyNumberFormat="1" applyFont="1"/>
    <xf numFmtId="0" fontId="2" fillId="6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164" fontId="4" fillId="0" borderId="0" xfId="2" applyNumberFormat="1" applyBorder="1" applyAlignment="1" applyProtection="1">
      <alignment horizontal="center"/>
    </xf>
    <xf numFmtId="164" fontId="2" fillId="2" borderId="0" xfId="3" applyNumberFormat="1" applyFont="1" applyBorder="1" applyAlignment="1">
      <alignment horizontal="center"/>
    </xf>
  </cellXfs>
  <cellStyles count="5">
    <cellStyle name="Accent6" xfId="3" builtinId="49"/>
    <cellStyle name="Comma" xfId="1" builtinId="3"/>
    <cellStyle name="Hyperlink" xfId="2" builtinId="8"/>
    <cellStyle name="Normal" xfId="0" builtinId="0"/>
    <cellStyle name="Percent" xfId="4" builtinId="5"/>
  </cellStyles>
  <dxfs count="1">
    <dxf>
      <font>
        <b/>
        <i val="0"/>
        <color theme="0"/>
      </font>
      <fill>
        <patternFill>
          <bgColor theme="5"/>
        </patternFill>
      </fill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6A19B-CB8A-43AF-BBE5-77A258EB9F20}">
  <sheetPr>
    <tabColor theme="7" tint="-0.499984740745262"/>
  </sheetPr>
  <dimension ref="A2:M95"/>
  <sheetViews>
    <sheetView showGridLines="0" topLeftCell="A93" zoomScale="104" workbookViewId="0">
      <selection activeCell="D97" sqref="D97"/>
    </sheetView>
  </sheetViews>
  <sheetFormatPr defaultRowHeight="14.4" x14ac:dyDescent="0.3"/>
  <cols>
    <col min="1" max="1" width="1.88671875" customWidth="1"/>
    <col min="2" max="2" width="26.77734375" bestFit="1" customWidth="1"/>
    <col min="3" max="13" width="12.77734375" customWidth="1"/>
  </cols>
  <sheetData>
    <row r="2" spans="1:13" x14ac:dyDescent="0.3">
      <c r="B2" s="33" t="str">
        <f>"Historical Financial Statements - "&amp;'Data Sheet'!B1</f>
        <v>Historical Financial Statements - BAJAJ AUTO LTD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</row>
    <row r="3" spans="1:13" x14ac:dyDescent="0.3">
      <c r="B3" s="8" t="s">
        <v>54</v>
      </c>
      <c r="C3" s="9">
        <f>'Data Sheet'!B16</f>
        <v>42460</v>
      </c>
      <c r="D3" s="9">
        <f>'Data Sheet'!C16</f>
        <v>42825</v>
      </c>
      <c r="E3" s="9">
        <f>'Data Sheet'!D16</f>
        <v>43190</v>
      </c>
      <c r="F3" s="9">
        <f>'Data Sheet'!E16</f>
        <v>43555</v>
      </c>
      <c r="G3" s="9">
        <f>'Data Sheet'!F16</f>
        <v>43921</v>
      </c>
      <c r="H3" s="9">
        <f>'Data Sheet'!G16</f>
        <v>44286</v>
      </c>
      <c r="I3" s="9">
        <f>'Data Sheet'!H16</f>
        <v>44651</v>
      </c>
      <c r="J3" s="9">
        <f>'Data Sheet'!I16</f>
        <v>45016</v>
      </c>
      <c r="K3" s="9">
        <f>'Data Sheet'!J16</f>
        <v>45382</v>
      </c>
      <c r="L3" s="9">
        <f>'Data Sheet'!K16</f>
        <v>45747</v>
      </c>
      <c r="M3" s="10" t="s">
        <v>55</v>
      </c>
    </row>
    <row r="4" spans="1:13" x14ac:dyDescent="0.3">
      <c r="A4" t="s">
        <v>56</v>
      </c>
      <c r="B4" s="18" t="s">
        <v>57</v>
      </c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</row>
    <row r="5" spans="1:13" x14ac:dyDescent="0.3">
      <c r="B5" t="s">
        <v>1</v>
      </c>
      <c r="C5" s="11">
        <f>IFERROR('Data Sheet'!B17,0)</f>
        <v>22573.69</v>
      </c>
      <c r="D5" s="11">
        <f>IFERROR('Data Sheet'!C17,0)</f>
        <v>21754.720000000001</v>
      </c>
      <c r="E5" s="11">
        <f>IFERROR('Data Sheet'!D17,0)</f>
        <v>25209.93</v>
      </c>
      <c r="F5" s="11">
        <f>IFERROR('Data Sheet'!E17,0)</f>
        <v>30357.63</v>
      </c>
      <c r="G5" s="11">
        <f>IFERROR('Data Sheet'!F17,0)</f>
        <v>29918.65</v>
      </c>
      <c r="H5" s="11">
        <f>IFERROR('Data Sheet'!G17,0)</f>
        <v>27741.08</v>
      </c>
      <c r="I5" s="11">
        <f>IFERROR('Data Sheet'!H17,0)</f>
        <v>33144.71</v>
      </c>
      <c r="J5" s="11">
        <f>IFERROR('Data Sheet'!I17,0)</f>
        <v>36455.379999999997</v>
      </c>
      <c r="K5" s="11">
        <f>IFERROR('Data Sheet'!J17,0)</f>
        <v>44870.43</v>
      </c>
      <c r="L5" s="11">
        <f>IFERROR('Data Sheet'!K17,0)</f>
        <v>50994.55</v>
      </c>
      <c r="M5" s="11">
        <f>IFERROR(SUM('Data Sheet'!H42:K42),0)</f>
        <v>57718.86</v>
      </c>
    </row>
    <row r="6" spans="1:13" x14ac:dyDescent="0.3">
      <c r="B6" s="13" t="s">
        <v>58</v>
      </c>
      <c r="C6" s="14" t="s">
        <v>59</v>
      </c>
      <c r="D6" s="15">
        <f>D5/C5-1</f>
        <v>-3.6279846139465777E-2</v>
      </c>
      <c r="E6" s="15">
        <f t="shared" ref="E6:L6" si="0">E5/D5-1</f>
        <v>0.15882576286893135</v>
      </c>
      <c r="F6" s="15">
        <f t="shared" si="0"/>
        <v>0.20419334762135399</v>
      </c>
      <c r="G6" s="15">
        <f t="shared" si="0"/>
        <v>-1.4460285602005185E-2</v>
      </c>
      <c r="H6" s="15">
        <f t="shared" si="0"/>
        <v>-7.2783029982970482E-2</v>
      </c>
      <c r="I6" s="15">
        <f t="shared" si="0"/>
        <v>0.19478801834679826</v>
      </c>
      <c r="J6" s="15">
        <f t="shared" si="0"/>
        <v>9.9885321066317978E-2</v>
      </c>
      <c r="K6" s="15">
        <f t="shared" si="0"/>
        <v>0.23083149867042962</v>
      </c>
      <c r="L6" s="15">
        <f t="shared" si="0"/>
        <v>0.13648454004118094</v>
      </c>
      <c r="M6" s="15">
        <f>M5/L5-1</f>
        <v>0.13186330696123405</v>
      </c>
    </row>
    <row r="8" spans="1:13" x14ac:dyDescent="0.3">
      <c r="B8" t="s">
        <v>60</v>
      </c>
      <c r="C8" s="11">
        <f>IFERROR(SUM('Data Sheet'!B18,'Data Sheet'!B20:B22)-1*'Data Sheet'!B19,0)</f>
        <v>16741.72</v>
      </c>
      <c r="D8" s="11">
        <f>IFERROR(SUM('Data Sheet'!C18,'Data Sheet'!C20:C22)-1*'Data Sheet'!C19,0)</f>
        <v>16267.979999999998</v>
      </c>
      <c r="E8" s="11">
        <f>IFERROR(SUM('Data Sheet'!D18,'Data Sheet'!D20:D22)-1*'Data Sheet'!D19,0)</f>
        <v>19133.099999999999</v>
      </c>
      <c r="F8" s="11">
        <f>IFERROR(SUM('Data Sheet'!E18,'Data Sheet'!E20:E22)-1*'Data Sheet'!E19,0)</f>
        <v>23807</v>
      </c>
      <c r="G8" s="11">
        <f>IFERROR(SUM('Data Sheet'!F18,'Data Sheet'!F20:F22)-1*'Data Sheet'!F19,0)</f>
        <v>23218.680000000004</v>
      </c>
      <c r="H8" s="11">
        <f>IFERROR(SUM('Data Sheet'!G18,'Data Sheet'!G20:G22)-1*'Data Sheet'!G19,0)</f>
        <v>21594.170000000002</v>
      </c>
      <c r="I8" s="11">
        <f>IFERROR(SUM('Data Sheet'!H18,'Data Sheet'!H20:H22)-1*'Data Sheet'!H19,0)</f>
        <v>26640.109999999997</v>
      </c>
      <c r="J8" s="11">
        <f>IFERROR(SUM('Data Sheet'!I18,'Data Sheet'!I20:I22)-1*'Data Sheet'!I19,0)</f>
        <v>28475.499999999996</v>
      </c>
      <c r="K8" s="11">
        <f>IFERROR(SUM('Data Sheet'!J18,'Data Sheet'!J20:J22)-1*'Data Sheet'!J19,0)</f>
        <v>34406.659999999996</v>
      </c>
      <c r="L8" s="11">
        <f>IFERROR(SUM('Data Sheet'!K18,'Data Sheet'!K20:K22)-1*'Data Sheet'!K19,0)</f>
        <v>38182.020000000004</v>
      </c>
      <c r="M8" s="11">
        <f>IFERROR(SUM('Data Sheet'!H43:K43),0)</f>
        <v>46009.729999999996</v>
      </c>
    </row>
    <row r="9" spans="1:13" x14ac:dyDescent="0.3">
      <c r="B9" s="15" t="s">
        <v>62</v>
      </c>
      <c r="C9" s="15">
        <f>C8/C5-1</f>
        <v>-0.25835253341389897</v>
      </c>
      <c r="D9" s="15">
        <f t="shared" ref="D9:L9" si="1">D8/D5-1</f>
        <v>-0.25220917575588209</v>
      </c>
      <c r="E9" s="15">
        <f t="shared" si="1"/>
        <v>-0.24104906280977378</v>
      </c>
      <c r="F9" s="15">
        <f t="shared" si="1"/>
        <v>-0.215781996157144</v>
      </c>
      <c r="G9" s="15">
        <f t="shared" si="1"/>
        <v>-0.22393958283545534</v>
      </c>
      <c r="H9" s="15">
        <f t="shared" si="1"/>
        <v>-0.22158149574565944</v>
      </c>
      <c r="I9" s="15">
        <f t="shared" si="1"/>
        <v>-0.19624851145175215</v>
      </c>
      <c r="J9" s="15">
        <f t="shared" si="1"/>
        <v>-0.21889444027191607</v>
      </c>
      <c r="K9" s="15">
        <f t="shared" si="1"/>
        <v>-0.23319968183946538</v>
      </c>
      <c r="L9" s="15">
        <f t="shared" si="1"/>
        <v>-0.25125292800897348</v>
      </c>
      <c r="M9" s="16" t="s">
        <v>59</v>
      </c>
    </row>
    <row r="11" spans="1:13" x14ac:dyDescent="0.3">
      <c r="B11" t="s">
        <v>61</v>
      </c>
      <c r="C11" s="17">
        <f>C5-C8</f>
        <v>5831.9699999999975</v>
      </c>
      <c r="D11" s="17">
        <f t="shared" ref="D11:M11" si="2">D5-D8</f>
        <v>5486.7400000000034</v>
      </c>
      <c r="E11" s="17">
        <f t="shared" si="2"/>
        <v>6076.8300000000017</v>
      </c>
      <c r="F11" s="17">
        <f t="shared" si="2"/>
        <v>6550.630000000001</v>
      </c>
      <c r="G11" s="17">
        <f t="shared" si="2"/>
        <v>6699.9699999999975</v>
      </c>
      <c r="H11" s="17">
        <f t="shared" si="2"/>
        <v>6146.91</v>
      </c>
      <c r="I11" s="17">
        <f t="shared" si="2"/>
        <v>6504.6000000000022</v>
      </c>
      <c r="J11" s="17">
        <f t="shared" si="2"/>
        <v>7979.880000000001</v>
      </c>
      <c r="K11" s="17">
        <f t="shared" si="2"/>
        <v>10463.770000000004</v>
      </c>
      <c r="L11" s="17">
        <f t="shared" si="2"/>
        <v>12812.529999999999</v>
      </c>
      <c r="M11" s="17">
        <f t="shared" si="2"/>
        <v>11709.130000000005</v>
      </c>
    </row>
    <row r="12" spans="1:13" x14ac:dyDescent="0.3">
      <c r="B12" s="15" t="s">
        <v>67</v>
      </c>
      <c r="C12" s="15">
        <f>C11/C5</f>
        <v>0.25835253341389902</v>
      </c>
      <c r="D12" s="15">
        <f t="shared" ref="D12:M12" si="3">D11/D5</f>
        <v>0.25220917575588209</v>
      </c>
      <c r="E12" s="15">
        <f t="shared" si="3"/>
        <v>0.24104906280977384</v>
      </c>
      <c r="F12" s="15">
        <f t="shared" si="3"/>
        <v>0.21578199615714405</v>
      </c>
      <c r="G12" s="15">
        <f t="shared" si="3"/>
        <v>0.22393958283545537</v>
      </c>
      <c r="H12" s="15">
        <f t="shared" si="3"/>
        <v>0.2215814957456595</v>
      </c>
      <c r="I12" s="15">
        <f t="shared" si="3"/>
        <v>0.19624851145175209</v>
      </c>
      <c r="J12" s="15">
        <f t="shared" si="3"/>
        <v>0.21889444027191601</v>
      </c>
      <c r="K12" s="15">
        <f t="shared" si="3"/>
        <v>0.23319968183946541</v>
      </c>
      <c r="L12" s="15">
        <f t="shared" si="3"/>
        <v>0.25125292800897348</v>
      </c>
      <c r="M12" s="15">
        <f t="shared" si="3"/>
        <v>0.20286488679783357</v>
      </c>
    </row>
    <row r="14" spans="1:13" x14ac:dyDescent="0.3">
      <c r="B14" t="s">
        <v>63</v>
      </c>
      <c r="C14" s="17">
        <f>IFERROR(SUM('Data Sheet'!B23:B24),0)</f>
        <v>1039.02</v>
      </c>
      <c r="D14" s="17">
        <f>IFERROR(SUM('Data Sheet'!C23:C24),0)</f>
        <v>1058.1100000000001</v>
      </c>
      <c r="E14" s="17">
        <f>IFERROR(SUM('Data Sheet'!D23:D24),0)</f>
        <v>1231.03</v>
      </c>
      <c r="F14" s="17">
        <f>IFERROR(SUM('Data Sheet'!E23:E24),0)</f>
        <v>1352.71</v>
      </c>
      <c r="G14" s="17">
        <f>IFERROR(SUM('Data Sheet'!F23:F24),0)</f>
        <v>1590.63</v>
      </c>
      <c r="H14" s="17">
        <f>IFERROR(SUM('Data Sheet'!G23:G24),0)</f>
        <v>1209.1300000000001</v>
      </c>
      <c r="I14" s="17">
        <f>IFERROR(SUM('Data Sheet'!H23:H24),0)</f>
        <v>1245.8</v>
      </c>
      <c r="J14" s="17">
        <f>IFERROR(SUM('Data Sheet'!I23:I24),0)</f>
        <v>1515.24</v>
      </c>
      <c r="K14" s="17">
        <f>IFERROR(SUM('Data Sheet'!J23:J24),0)</f>
        <v>1699.0900000000001</v>
      </c>
      <c r="L14" s="17">
        <f>IFERROR(SUM('Data Sheet'!K23:K24),0)</f>
        <v>3257.9300000000003</v>
      </c>
      <c r="M14" s="17">
        <f>IFERROR(SUM('Data Sheet'!L23:L24),0)</f>
        <v>0</v>
      </c>
    </row>
    <row r="15" spans="1:13" x14ac:dyDescent="0.3">
      <c r="B15" s="15" t="s">
        <v>64</v>
      </c>
      <c r="C15" s="15">
        <f>C14/C5</f>
        <v>4.6027920114079711E-2</v>
      </c>
      <c r="D15" s="15">
        <f t="shared" ref="D15:M15" si="4">D14/D5</f>
        <v>4.8638180587936779E-2</v>
      </c>
      <c r="E15" s="15">
        <f t="shared" si="4"/>
        <v>4.8831155025023866E-2</v>
      </c>
      <c r="F15" s="15">
        <f t="shared" si="4"/>
        <v>4.4559143780328041E-2</v>
      </c>
      <c r="G15" s="15">
        <f t="shared" si="4"/>
        <v>5.3165166209036836E-2</v>
      </c>
      <c r="H15" s="15">
        <f t="shared" si="4"/>
        <v>4.3586262683356233E-2</v>
      </c>
      <c r="I15" s="15">
        <f t="shared" si="4"/>
        <v>3.7586691812962009E-2</v>
      </c>
      <c r="J15" s="15">
        <f t="shared" si="4"/>
        <v>4.1564235512014963E-2</v>
      </c>
      <c r="K15" s="15">
        <f t="shared" si="4"/>
        <v>3.7866586079072569E-2</v>
      </c>
      <c r="L15" s="15">
        <f t="shared" si="4"/>
        <v>6.3887807618657297E-2</v>
      </c>
      <c r="M15" s="15">
        <f t="shared" si="4"/>
        <v>0</v>
      </c>
    </row>
    <row r="17" spans="2:13" x14ac:dyDescent="0.3">
      <c r="B17" t="s">
        <v>65</v>
      </c>
      <c r="C17" s="17">
        <f>C11-C14</f>
        <v>4792.9499999999971</v>
      </c>
      <c r="D17" s="17">
        <f t="shared" ref="D17:M17" si="5">D11-D14</f>
        <v>4428.6300000000028</v>
      </c>
      <c r="E17" s="17">
        <f t="shared" si="5"/>
        <v>4845.800000000002</v>
      </c>
      <c r="F17" s="17">
        <f t="shared" si="5"/>
        <v>5197.920000000001</v>
      </c>
      <c r="G17" s="17">
        <f t="shared" si="5"/>
        <v>5109.3399999999974</v>
      </c>
      <c r="H17" s="17">
        <f t="shared" si="5"/>
        <v>4937.78</v>
      </c>
      <c r="I17" s="17">
        <f t="shared" si="5"/>
        <v>5258.800000000002</v>
      </c>
      <c r="J17" s="17">
        <f t="shared" si="5"/>
        <v>6464.6400000000012</v>
      </c>
      <c r="K17" s="17">
        <f t="shared" si="5"/>
        <v>8764.6800000000039</v>
      </c>
      <c r="L17" s="17">
        <f t="shared" si="5"/>
        <v>9554.5999999999985</v>
      </c>
      <c r="M17" s="17">
        <f t="shared" si="5"/>
        <v>11709.130000000005</v>
      </c>
    </row>
    <row r="18" spans="2:13" x14ac:dyDescent="0.3">
      <c r="B18" s="15" t="s">
        <v>66</v>
      </c>
      <c r="C18" s="15">
        <f>C17/C5</f>
        <v>0.21232461329981928</v>
      </c>
      <c r="D18" s="15">
        <f t="shared" ref="D18:M18" si="6">D17/D5</f>
        <v>0.20357099516794527</v>
      </c>
      <c r="E18" s="15">
        <f t="shared" si="6"/>
        <v>0.19221790778474998</v>
      </c>
      <c r="F18" s="15">
        <f t="shared" si="6"/>
        <v>0.171222852376816</v>
      </c>
      <c r="G18" s="15">
        <f t="shared" si="6"/>
        <v>0.17077441662641854</v>
      </c>
      <c r="H18" s="15">
        <f t="shared" si="6"/>
        <v>0.17799523306230325</v>
      </c>
      <c r="I18" s="15">
        <f t="shared" si="6"/>
        <v>0.15866181963879009</v>
      </c>
      <c r="J18" s="15">
        <f t="shared" si="6"/>
        <v>0.17733020475990105</v>
      </c>
      <c r="K18" s="15">
        <f t="shared" si="6"/>
        <v>0.19533309576039284</v>
      </c>
      <c r="L18" s="15">
        <f t="shared" si="6"/>
        <v>0.18736512039031619</v>
      </c>
      <c r="M18" s="15">
        <f t="shared" si="6"/>
        <v>0.20286488679783357</v>
      </c>
    </row>
    <row r="20" spans="2:13" x14ac:dyDescent="0.3">
      <c r="B20" t="s">
        <v>68</v>
      </c>
      <c r="C20" s="17">
        <f>IFERROR(SUM('Data Sheet'!B27),0)</f>
        <v>1.05</v>
      </c>
      <c r="D20" s="17">
        <f>IFERROR(SUM('Data Sheet'!C27),0)</f>
        <v>1.4</v>
      </c>
      <c r="E20" s="17">
        <f>IFERROR(SUM('Data Sheet'!D27),0)</f>
        <v>1.31</v>
      </c>
      <c r="F20" s="17">
        <f>IFERROR(SUM('Data Sheet'!E27),0)</f>
        <v>4.4800000000000004</v>
      </c>
      <c r="G20" s="17">
        <f>IFERROR(SUM('Data Sheet'!F27),0)</f>
        <v>3.16</v>
      </c>
      <c r="H20" s="17">
        <f>IFERROR(SUM('Data Sheet'!G27),0)</f>
        <v>6.66</v>
      </c>
      <c r="I20" s="17">
        <f>IFERROR(SUM('Data Sheet'!H27),0)</f>
        <v>8.66</v>
      </c>
      <c r="J20" s="17">
        <f>IFERROR(SUM('Data Sheet'!I27),0)</f>
        <v>39.51</v>
      </c>
      <c r="K20" s="17">
        <f>IFERROR(SUM('Data Sheet'!J27),0)</f>
        <v>60.36</v>
      </c>
      <c r="L20" s="17">
        <f>IFERROR(SUM('Data Sheet'!K27),0)</f>
        <v>388.9</v>
      </c>
      <c r="M20" s="17">
        <f>IFERROR(SUM('Data Sheet'!L27),0)</f>
        <v>0</v>
      </c>
    </row>
    <row r="21" spans="2:13" x14ac:dyDescent="0.3">
      <c r="B21" s="15" t="s">
        <v>69</v>
      </c>
      <c r="C21" s="15">
        <f>C20/C5</f>
        <v>4.6514327077230177E-5</v>
      </c>
      <c r="D21" s="15">
        <f t="shared" ref="D21:M21" si="7">D20/D5</f>
        <v>6.435385056668162E-5</v>
      </c>
      <c r="E21" s="15">
        <f t="shared" si="7"/>
        <v>5.1963650831239911E-5</v>
      </c>
      <c r="F21" s="15">
        <f t="shared" si="7"/>
        <v>1.4757410245793234E-4</v>
      </c>
      <c r="G21" s="15">
        <f t="shared" si="7"/>
        <v>1.0561973885853807E-4</v>
      </c>
      <c r="H21" s="15">
        <f t="shared" si="7"/>
        <v>2.4007717075182365E-4</v>
      </c>
      <c r="I21" s="15">
        <f t="shared" si="7"/>
        <v>2.6127849662887381E-4</v>
      </c>
      <c r="J21" s="15">
        <f t="shared" si="7"/>
        <v>1.0837906503786273E-3</v>
      </c>
      <c r="K21" s="15">
        <f t="shared" si="7"/>
        <v>1.3452066316280008E-3</v>
      </c>
      <c r="L21" s="15">
        <f t="shared" si="7"/>
        <v>7.6263051639832088E-3</v>
      </c>
      <c r="M21" s="15">
        <f t="shared" si="7"/>
        <v>0</v>
      </c>
    </row>
    <row r="23" spans="2:13" x14ac:dyDescent="0.3">
      <c r="B23" t="s">
        <v>5</v>
      </c>
      <c r="C23" s="17">
        <f>IFERROR('Data Sheet'!B26,0)</f>
        <v>307.16000000000003</v>
      </c>
      <c r="D23" s="17">
        <f>IFERROR(SUM('Data Sheet'!C26),0)</f>
        <v>307.29000000000002</v>
      </c>
      <c r="E23" s="17">
        <f>IFERROR(SUM('Data Sheet'!D26),0)</f>
        <v>314.8</v>
      </c>
      <c r="F23" s="17">
        <f>IFERROR(SUM('Data Sheet'!E26),0)</f>
        <v>265.69</v>
      </c>
      <c r="G23" s="17">
        <f>IFERROR(SUM('Data Sheet'!F26),0)</f>
        <v>246.43</v>
      </c>
      <c r="H23" s="17">
        <f>IFERROR(SUM('Data Sheet'!G26),0)</f>
        <v>259.37</v>
      </c>
      <c r="I23" s="17">
        <f>IFERROR(SUM('Data Sheet'!H26),0)</f>
        <v>269.76</v>
      </c>
      <c r="J23" s="17">
        <f>IFERROR(SUM('Data Sheet'!I26),0)</f>
        <v>285.85000000000002</v>
      </c>
      <c r="K23" s="17">
        <f>IFERROR(SUM('Data Sheet'!J26),0)</f>
        <v>364.77</v>
      </c>
      <c r="L23" s="17">
        <f>IFERROR(SUM('Data Sheet'!K26),0)</f>
        <v>414.23</v>
      </c>
      <c r="M23" s="17">
        <f>IFERROR(SUM('Data Sheet'!L26),0)</f>
        <v>0</v>
      </c>
    </row>
    <row r="24" spans="2:13" x14ac:dyDescent="0.3">
      <c r="B24" s="15" t="s">
        <v>70</v>
      </c>
      <c r="C24" s="15">
        <f>C23/C5</f>
        <v>1.360699114765907E-2</v>
      </c>
      <c r="D24" s="15">
        <f t="shared" ref="D24:M24" si="8">D23/D5</f>
        <v>1.4125210529025425E-2</v>
      </c>
      <c r="E24" s="15">
        <f t="shared" si="8"/>
        <v>1.2487142963110171E-2</v>
      </c>
      <c r="F24" s="15">
        <f t="shared" si="8"/>
        <v>8.7520007326000078E-3</v>
      </c>
      <c r="G24" s="15">
        <f t="shared" si="8"/>
        <v>8.2366684325663082E-3</v>
      </c>
      <c r="H24" s="15">
        <f t="shared" si="8"/>
        <v>9.3496720387237983E-3</v>
      </c>
      <c r="I24" s="15">
        <f t="shared" si="8"/>
        <v>8.1388553407165127E-3</v>
      </c>
      <c r="J24" s="15">
        <f t="shared" si="8"/>
        <v>7.8410923161409928E-3</v>
      </c>
      <c r="K24" s="15">
        <f t="shared" si="8"/>
        <v>8.1294072733423765E-3</v>
      </c>
      <c r="L24" s="15">
        <f t="shared" si="8"/>
        <v>8.1230249114856382E-3</v>
      </c>
      <c r="M24" s="15">
        <f t="shared" si="8"/>
        <v>0</v>
      </c>
    </row>
    <row r="26" spans="2:13" x14ac:dyDescent="0.3">
      <c r="B26" t="s">
        <v>71</v>
      </c>
      <c r="C26" s="17">
        <f>C17-(C20+C23)</f>
        <v>4484.7399999999971</v>
      </c>
      <c r="D26" s="17">
        <f t="shared" ref="D26:M26" si="9">D17-(D20+D23)</f>
        <v>4119.9400000000032</v>
      </c>
      <c r="E26" s="17">
        <f t="shared" si="9"/>
        <v>4529.6900000000023</v>
      </c>
      <c r="F26" s="17">
        <f t="shared" si="9"/>
        <v>4927.7500000000009</v>
      </c>
      <c r="G26" s="17">
        <f t="shared" si="9"/>
        <v>4859.7499999999973</v>
      </c>
      <c r="H26" s="17">
        <f t="shared" si="9"/>
        <v>4671.75</v>
      </c>
      <c r="I26" s="17">
        <f t="shared" si="9"/>
        <v>4980.3800000000019</v>
      </c>
      <c r="J26" s="17">
        <f t="shared" si="9"/>
        <v>6139.2800000000016</v>
      </c>
      <c r="K26" s="17">
        <f t="shared" si="9"/>
        <v>8339.5500000000047</v>
      </c>
      <c r="L26" s="17">
        <f t="shared" si="9"/>
        <v>8751.4699999999993</v>
      </c>
      <c r="M26" s="17">
        <f t="shared" si="9"/>
        <v>11709.130000000005</v>
      </c>
    </row>
    <row r="27" spans="2:13" x14ac:dyDescent="0.3">
      <c r="B27" s="15" t="s">
        <v>72</v>
      </c>
      <c r="C27" s="15">
        <f>C26/C5</f>
        <v>0.19867110782508299</v>
      </c>
      <c r="D27" s="15">
        <f t="shared" ref="D27:M27" si="10">D26/D5</f>
        <v>0.18938143078835321</v>
      </c>
      <c r="E27" s="15">
        <f t="shared" si="10"/>
        <v>0.17967880117080859</v>
      </c>
      <c r="F27" s="15">
        <f t="shared" si="10"/>
        <v>0.16232327754175807</v>
      </c>
      <c r="G27" s="15">
        <f t="shared" si="10"/>
        <v>0.16243212845499369</v>
      </c>
      <c r="H27" s="15">
        <f t="shared" si="10"/>
        <v>0.16840548385282764</v>
      </c>
      <c r="I27" s="15">
        <f t="shared" si="10"/>
        <v>0.15026168580144469</v>
      </c>
      <c r="J27" s="15">
        <f t="shared" si="10"/>
        <v>0.16840532179338144</v>
      </c>
      <c r="K27" s="15">
        <f t="shared" si="10"/>
        <v>0.18585848185542247</v>
      </c>
      <c r="L27" s="15">
        <f t="shared" si="10"/>
        <v>0.17161579031484736</v>
      </c>
      <c r="M27" s="15">
        <f t="shared" si="10"/>
        <v>0.20286488679783357</v>
      </c>
    </row>
    <row r="29" spans="2:13" x14ac:dyDescent="0.3">
      <c r="B29" t="s">
        <v>8</v>
      </c>
      <c r="C29" s="17">
        <f>IFERROR('Data Sheet'!B29,0)</f>
        <v>1617.65</v>
      </c>
      <c r="D29" s="17">
        <f>IFERROR('Data Sheet'!C29,0)</f>
        <v>1508.07</v>
      </c>
      <c r="E29" s="17">
        <f>IFERROR('Data Sheet'!D29,0)</f>
        <v>1714.47</v>
      </c>
      <c r="F29" s="17">
        <f>IFERROR('Data Sheet'!E29,0)</f>
        <v>2027.98</v>
      </c>
      <c r="G29" s="17">
        <f>IFERROR('Data Sheet'!F29,0)</f>
        <v>1480.22</v>
      </c>
      <c r="H29" s="17">
        <f>IFERROR('Data Sheet'!G29,0)</f>
        <v>1384.41</v>
      </c>
      <c r="I29" s="17">
        <f>IFERROR('Data Sheet'!H29,0)</f>
        <v>1485.81</v>
      </c>
      <c r="J29" s="17">
        <f>IFERROR('Data Sheet'!I29,0)</f>
        <v>1781.77</v>
      </c>
      <c r="K29" s="17">
        <f>IFERROR('Data Sheet'!J29,0)</f>
        <v>2331.8000000000002</v>
      </c>
      <c r="L29" s="17">
        <f>IFERROR('Data Sheet'!K29,0)</f>
        <v>2898.8</v>
      </c>
      <c r="M29" s="17">
        <f>IFERROR('Data Sheet'!L29,0)</f>
        <v>0</v>
      </c>
    </row>
    <row r="30" spans="2:13" x14ac:dyDescent="0.3">
      <c r="B30" s="15" t="s">
        <v>73</v>
      </c>
      <c r="C30" s="15">
        <f>C29/C26</f>
        <v>0.36070095479336622</v>
      </c>
      <c r="D30" s="15">
        <f t="shared" ref="D30:M30" si="11">D29/D26</f>
        <v>0.36604173847191918</v>
      </c>
      <c r="E30" s="15">
        <f t="shared" si="11"/>
        <v>0.37849610017462543</v>
      </c>
      <c r="F30" s="15">
        <f t="shared" si="11"/>
        <v>0.41154279336411131</v>
      </c>
      <c r="G30" s="15">
        <f t="shared" si="11"/>
        <v>0.30458768455167462</v>
      </c>
      <c r="H30" s="15">
        <f t="shared" si="11"/>
        <v>0.29633649060844441</v>
      </c>
      <c r="I30" s="15">
        <f t="shared" si="11"/>
        <v>0.2983326573474312</v>
      </c>
      <c r="J30" s="15">
        <f t="shared" si="11"/>
        <v>0.29022458659647377</v>
      </c>
      <c r="K30" s="15">
        <f t="shared" si="11"/>
        <v>0.27960741286999885</v>
      </c>
      <c r="L30" s="15">
        <f t="shared" si="11"/>
        <v>0.33123578096022732</v>
      </c>
      <c r="M30" s="15">
        <f t="shared" si="11"/>
        <v>0</v>
      </c>
    </row>
    <row r="32" spans="2:13" x14ac:dyDescent="0.3">
      <c r="B32" t="s">
        <v>74</v>
      </c>
      <c r="C32" s="17">
        <f>C26-C29</f>
        <v>2867.089999999997</v>
      </c>
      <c r="D32" s="17">
        <f t="shared" ref="D32:M32" si="12">D26-D29</f>
        <v>2611.8700000000035</v>
      </c>
      <c r="E32" s="17">
        <f t="shared" si="12"/>
        <v>2815.2200000000021</v>
      </c>
      <c r="F32" s="17">
        <f t="shared" si="12"/>
        <v>2899.7700000000009</v>
      </c>
      <c r="G32" s="17">
        <f t="shared" si="12"/>
        <v>3379.529999999997</v>
      </c>
      <c r="H32" s="17">
        <f t="shared" si="12"/>
        <v>3287.34</v>
      </c>
      <c r="I32" s="17">
        <f t="shared" si="12"/>
        <v>3494.570000000002</v>
      </c>
      <c r="J32" s="17">
        <f t="shared" si="12"/>
        <v>4357.510000000002</v>
      </c>
      <c r="K32" s="17">
        <f t="shared" si="12"/>
        <v>6007.7500000000045</v>
      </c>
      <c r="L32" s="17">
        <f t="shared" si="12"/>
        <v>5852.6699999999992</v>
      </c>
      <c r="M32" s="17">
        <f t="shared" si="12"/>
        <v>11709.130000000005</v>
      </c>
    </row>
    <row r="33" spans="1:13" x14ac:dyDescent="0.3">
      <c r="B33" s="15" t="s">
        <v>75</v>
      </c>
      <c r="C33" s="15">
        <f>C32/C5</f>
        <v>0.12701024954271975</v>
      </c>
      <c r="D33" s="15">
        <f t="shared" ref="D33:M33" si="13">D32/D5</f>
        <v>0.12005992262828497</v>
      </c>
      <c r="E33" s="15">
        <f t="shared" si="13"/>
        <v>0.11167107564360559</v>
      </c>
      <c r="F33" s="15">
        <f t="shared" si="13"/>
        <v>9.5520302474205024E-2</v>
      </c>
      <c r="G33" s="15">
        <f t="shared" si="13"/>
        <v>0.11295730255208697</v>
      </c>
      <c r="H33" s="15">
        <f t="shared" si="13"/>
        <v>0.11850079376866365</v>
      </c>
      <c r="I33" s="15">
        <f t="shared" si="13"/>
        <v>0.10543371777879493</v>
      </c>
      <c r="J33" s="15">
        <f t="shared" si="13"/>
        <v>0.11952995689525119</v>
      </c>
      <c r="K33" s="15">
        <f t="shared" si="13"/>
        <v>0.13389107258388219</v>
      </c>
      <c r="L33" s="15">
        <f t="shared" si="13"/>
        <v>0.11477049998480228</v>
      </c>
      <c r="M33" s="15">
        <f t="shared" si="13"/>
        <v>0.20286488679783357</v>
      </c>
    </row>
    <row r="35" spans="1:13" x14ac:dyDescent="0.3">
      <c r="B35" t="s">
        <v>76</v>
      </c>
      <c r="C35">
        <f>IFERROR('Data Sheet'!B94,0)</f>
        <v>28.94</v>
      </c>
      <c r="D35">
        <f>IFERROR('Data Sheet'!C94,0)</f>
        <v>28.94</v>
      </c>
      <c r="E35">
        <f>IFERROR('Data Sheet'!D94,0)</f>
        <v>28.94</v>
      </c>
      <c r="F35">
        <f>IFERROR('Data Sheet'!E94,0)</f>
        <v>28.94</v>
      </c>
      <c r="G35">
        <f>IFERROR('Data Sheet'!F94,0)</f>
        <v>28.94</v>
      </c>
      <c r="H35">
        <f>IFERROR('Data Sheet'!G94,0)</f>
        <v>28.94</v>
      </c>
      <c r="I35">
        <f>IFERROR('Data Sheet'!H94,0)</f>
        <v>28.94</v>
      </c>
      <c r="J35">
        <f>IFERROR('Data Sheet'!I94,0)</f>
        <v>28.3</v>
      </c>
      <c r="K35">
        <f>IFERROR('Data Sheet'!J94,0)</f>
        <v>27.92</v>
      </c>
      <c r="L35">
        <f>IFERROR('Data Sheet'!K94,0)</f>
        <v>27.93</v>
      </c>
      <c r="M35">
        <f>IFERROR('Data Sheet'!L94,0)</f>
        <v>0</v>
      </c>
    </row>
    <row r="36" spans="1:13" x14ac:dyDescent="0.3">
      <c r="B36" s="15" t="s">
        <v>77</v>
      </c>
      <c r="C36" s="19">
        <f>C32/C35</f>
        <v>99.070145127850623</v>
      </c>
      <c r="D36" s="19">
        <f t="shared" ref="D36:M36" si="14">D32/D35</f>
        <v>90.25120939875616</v>
      </c>
      <c r="E36" s="19">
        <f t="shared" si="14"/>
        <v>97.277816171389148</v>
      </c>
      <c r="F36" s="19">
        <f t="shared" si="14"/>
        <v>100.19937802349692</v>
      </c>
      <c r="G36" s="19">
        <f t="shared" si="14"/>
        <v>116.77712508638551</v>
      </c>
      <c r="H36" s="19">
        <f t="shared" si="14"/>
        <v>113.59156876295785</v>
      </c>
      <c r="I36" s="19">
        <f t="shared" si="14"/>
        <v>120.75224602626129</v>
      </c>
      <c r="J36" s="19">
        <f t="shared" si="14"/>
        <v>153.97561837455837</v>
      </c>
      <c r="K36" s="19">
        <f t="shared" si="14"/>
        <v>215.17729226361047</v>
      </c>
      <c r="L36" s="19">
        <f t="shared" si="14"/>
        <v>209.54779806659502</v>
      </c>
      <c r="M36" s="19" t="e">
        <f t="shared" si="14"/>
        <v>#DIV/0!</v>
      </c>
    </row>
    <row r="38" spans="1:13" x14ac:dyDescent="0.3">
      <c r="B38" t="s">
        <v>78</v>
      </c>
      <c r="C38" s="17">
        <f>IFERROR('Data Sheet'!B31/'Financials&gt;'!C35,0)</f>
        <v>54.994471319972355</v>
      </c>
      <c r="D38" s="17">
        <f>IFERROR('Data Sheet'!C31/'Financials&gt;'!D35,0)</f>
        <v>54.994471319972355</v>
      </c>
      <c r="E38" s="17">
        <f>IFERROR('Data Sheet'!D31/'Financials&gt;'!E35,0)</f>
        <v>59.993780234968902</v>
      </c>
      <c r="F38" s="17">
        <f>IFERROR('Data Sheet'!E31/'Financials&gt;'!F35,0)</f>
        <v>59.993780234968902</v>
      </c>
      <c r="G38" s="17">
        <f>IFERROR('Data Sheet'!F31/'Financials&gt;'!G35,0)</f>
        <v>119.9875604699378</v>
      </c>
      <c r="H38" s="17">
        <f>IFERROR('Data Sheet'!G31/'Financials&gt;'!H35,0)</f>
        <v>139.98548721492742</v>
      </c>
      <c r="I38" s="17">
        <f>IFERROR('Data Sheet'!H31/'Financials&gt;'!I35,0)</f>
        <v>139.98548721492742</v>
      </c>
      <c r="J38" s="17">
        <f>IFERROR('Data Sheet'!I31/'Financials&gt;'!J35,0)</f>
        <v>139.98021201413428</v>
      </c>
      <c r="K38" s="17">
        <f>IFERROR('Data Sheet'!J31/'Financials&gt;'!K35,0)</f>
        <v>79.994269340974213</v>
      </c>
      <c r="L38" s="17">
        <f>IFERROR('Data Sheet'!K31/'Financials&gt;'!L35,0)</f>
        <v>209.96992481203009</v>
      </c>
      <c r="M38" s="17">
        <f>IFERROR('Data Sheet'!L31/'Financials&gt;'!M35,0)</f>
        <v>0</v>
      </c>
    </row>
    <row r="39" spans="1:13" x14ac:dyDescent="0.3">
      <c r="B39" s="15" t="s">
        <v>79</v>
      </c>
      <c r="C39" s="15">
        <f>C38/C35</f>
        <v>1.9002927201096182</v>
      </c>
      <c r="D39" s="15">
        <f t="shared" ref="D39:M39" si="15">D38/D35</f>
        <v>1.9002927201096182</v>
      </c>
      <c r="E39" s="15">
        <f t="shared" si="15"/>
        <v>2.0730400910493745</v>
      </c>
      <c r="F39" s="15">
        <f t="shared" si="15"/>
        <v>2.0730400910493745</v>
      </c>
      <c r="G39" s="15">
        <f t="shared" si="15"/>
        <v>4.146080182098749</v>
      </c>
      <c r="H39" s="15">
        <f t="shared" si="15"/>
        <v>4.8370935457818733</v>
      </c>
      <c r="I39" s="15">
        <f t="shared" si="15"/>
        <v>4.8370935457818733</v>
      </c>
      <c r="J39" s="15">
        <f t="shared" si="15"/>
        <v>4.9462972443156987</v>
      </c>
      <c r="K39" s="15">
        <f t="shared" si="15"/>
        <v>2.865124260063546</v>
      </c>
      <c r="L39" s="15">
        <f t="shared" si="15"/>
        <v>7.5177201866104575</v>
      </c>
      <c r="M39" s="15" t="e">
        <f t="shared" si="15"/>
        <v>#DIV/0!</v>
      </c>
    </row>
    <row r="41" spans="1:13" x14ac:dyDescent="0.3">
      <c r="B41" t="s">
        <v>80</v>
      </c>
      <c r="C41" s="12">
        <f>IFERROR(IF(C36&gt;C38,1-C39,0),0)</f>
        <v>-0.90029272010961825</v>
      </c>
      <c r="D41" s="12">
        <f t="shared" ref="D41:M41" si="16">IFERROR(IF(D36&gt;D38,1-D39,0),0)</f>
        <v>-0.90029272010961825</v>
      </c>
      <c r="E41" s="12">
        <f t="shared" si="16"/>
        <v>-1.0730400910493745</v>
      </c>
      <c r="F41" s="12">
        <f t="shared" si="16"/>
        <v>-1.0730400910493745</v>
      </c>
      <c r="G41" s="12">
        <f t="shared" si="16"/>
        <v>0</v>
      </c>
      <c r="H41" s="12">
        <f t="shared" si="16"/>
        <v>0</v>
      </c>
      <c r="I41" s="12">
        <f t="shared" si="16"/>
        <v>0</v>
      </c>
      <c r="J41" s="12">
        <f t="shared" si="16"/>
        <v>-3.9462972443156987</v>
      </c>
      <c r="K41" s="12">
        <f t="shared" si="16"/>
        <v>-1.865124260063546</v>
      </c>
      <c r="L41" s="12">
        <f t="shared" si="16"/>
        <v>0</v>
      </c>
      <c r="M41" s="12">
        <f t="shared" si="16"/>
        <v>0</v>
      </c>
    </row>
    <row r="43" spans="1:13" x14ac:dyDescent="0.3">
      <c r="A43" t="s">
        <v>56</v>
      </c>
      <c r="B43" s="18" t="s">
        <v>81</v>
      </c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</row>
    <row r="44" spans="1:13" x14ac:dyDescent="0.3">
      <c r="B44" t="s">
        <v>82</v>
      </c>
      <c r="C44" s="17">
        <f>IFERROR('Data Sheet'!B57,0)</f>
        <v>289.37</v>
      </c>
      <c r="D44" s="17">
        <f>IFERROR('Data Sheet'!C57,0)</f>
        <v>289.37</v>
      </c>
      <c r="E44" s="17">
        <f>IFERROR('Data Sheet'!D57,0)</f>
        <v>289.37</v>
      </c>
      <c r="F44" s="17">
        <f>IFERROR('Data Sheet'!E57,0)</f>
        <v>289.37</v>
      </c>
      <c r="G44" s="17">
        <f>IFERROR('Data Sheet'!F57,0)</f>
        <v>289.37</v>
      </c>
      <c r="H44" s="17">
        <f>IFERROR('Data Sheet'!G57,0)</f>
        <v>289.37</v>
      </c>
      <c r="I44" s="17">
        <f>IFERROR('Data Sheet'!H57,0)</f>
        <v>289.37</v>
      </c>
      <c r="J44" s="17">
        <f>IFERROR('Data Sheet'!I57,0)</f>
        <v>282.95999999999998</v>
      </c>
      <c r="K44" s="17">
        <f>IFERROR('Data Sheet'!J57,0)</f>
        <v>279.18</v>
      </c>
      <c r="L44" s="17">
        <f>IFERROR('Data Sheet'!K57,0)</f>
        <v>279.26</v>
      </c>
      <c r="M44" s="17">
        <f>IFERROR('Data Sheet'!L57,0)</f>
        <v>0</v>
      </c>
    </row>
    <row r="45" spans="1:13" x14ac:dyDescent="0.3">
      <c r="B45" s="3" t="s">
        <v>11</v>
      </c>
      <c r="C45" s="17">
        <f>IFERROR('Data Sheet'!B58,0)</f>
        <v>13730.94</v>
      </c>
      <c r="D45" s="17">
        <f>IFERROR('Data Sheet'!C58,0)</f>
        <v>17567.2</v>
      </c>
      <c r="E45" s="17">
        <f>IFERROR('Data Sheet'!D58,0)</f>
        <v>20135.87</v>
      </c>
      <c r="F45" s="17">
        <f>IFERROR('Data Sheet'!E58,0)</f>
        <v>22944.44</v>
      </c>
      <c r="G45" s="17">
        <f>IFERROR('Data Sheet'!F58,0)</f>
        <v>21372.71</v>
      </c>
      <c r="H45" s="17">
        <f>IFERROR('Data Sheet'!G58,0)</f>
        <v>26984.06</v>
      </c>
      <c r="I45" s="17">
        <f>IFERROR('Data Sheet'!H58,0)</f>
        <v>29570.28</v>
      </c>
      <c r="J45" s="17">
        <f>IFERROR('Data Sheet'!I58,0)</f>
        <v>29078.58</v>
      </c>
      <c r="K45" s="17">
        <f>IFERROR('Data Sheet'!J58,0)</f>
        <v>28683.23</v>
      </c>
      <c r="L45" s="17">
        <f>IFERROR('Data Sheet'!K58,0)</f>
        <v>34909.480000000003</v>
      </c>
      <c r="M45" s="17">
        <f>IFERROR('Data Sheet'!L58,0)</f>
        <v>0</v>
      </c>
    </row>
    <row r="46" spans="1:13" x14ac:dyDescent="0.3">
      <c r="B46" s="3" t="s">
        <v>35</v>
      </c>
      <c r="C46" s="17">
        <f>IFERROR('Data Sheet'!B59,0)</f>
        <v>117.86</v>
      </c>
      <c r="D46" s="17">
        <f>IFERROR('Data Sheet'!C59,0)</f>
        <v>119.9</v>
      </c>
      <c r="E46" s="17">
        <f>IFERROR('Data Sheet'!D59,0)</f>
        <v>120.77</v>
      </c>
      <c r="F46" s="17">
        <f>IFERROR('Data Sheet'!E59,0)</f>
        <v>124.52</v>
      </c>
      <c r="G46" s="17">
        <f>IFERROR('Data Sheet'!F59,0)</f>
        <v>125.59</v>
      </c>
      <c r="H46" s="17">
        <f>IFERROR('Data Sheet'!G59,0)</f>
        <v>121.46</v>
      </c>
      <c r="I46" s="17">
        <f>IFERROR('Data Sheet'!H59,0)</f>
        <v>122.77</v>
      </c>
      <c r="J46" s="17">
        <f>IFERROR('Data Sheet'!I59,0)</f>
        <v>124.23</v>
      </c>
      <c r="K46" s="17">
        <f>IFERROR('Data Sheet'!J59,0)</f>
        <v>1911.74</v>
      </c>
      <c r="L46" s="17">
        <f>IFERROR('Data Sheet'!K59,0)</f>
        <v>9364.16</v>
      </c>
      <c r="M46" s="17">
        <f>IFERROR('Data Sheet'!L59,0)</f>
        <v>0</v>
      </c>
    </row>
    <row r="47" spans="1:13" x14ac:dyDescent="0.3">
      <c r="B47" s="3" t="s">
        <v>36</v>
      </c>
      <c r="C47" s="17">
        <f>IFERROR('Data Sheet'!B60,0)</f>
        <v>3102.2</v>
      </c>
      <c r="D47" s="17">
        <f>IFERROR('Data Sheet'!C60,0)</f>
        <v>3661.15</v>
      </c>
      <c r="E47" s="17">
        <f>IFERROR('Data Sheet'!D60,0)</f>
        <v>4594.99</v>
      </c>
      <c r="F47" s="17">
        <f>IFERROR('Data Sheet'!E60,0)</f>
        <v>5476.08</v>
      </c>
      <c r="G47" s="17">
        <f>IFERROR('Data Sheet'!F60,0)</f>
        <v>4722.3500000000004</v>
      </c>
      <c r="H47" s="17">
        <f>IFERROR('Data Sheet'!G60,0)</f>
        <v>6206.82</v>
      </c>
      <c r="I47" s="17">
        <f>IFERROR('Data Sheet'!H60,0)</f>
        <v>5128.79</v>
      </c>
      <c r="J47" s="17">
        <f>IFERROR('Data Sheet'!I60,0)</f>
        <v>5650.68</v>
      </c>
      <c r="K47" s="17">
        <f>IFERROR('Data Sheet'!J60,0)</f>
        <v>8469.5400000000009</v>
      </c>
      <c r="L47" s="17">
        <f>IFERROR('Data Sheet'!K60,0)</f>
        <v>9557.02</v>
      </c>
      <c r="M47" s="17">
        <f>IFERROR('Data Sheet'!L60,0)</f>
        <v>0</v>
      </c>
    </row>
    <row r="48" spans="1:13" x14ac:dyDescent="0.3">
      <c r="B48" s="1" t="s">
        <v>83</v>
      </c>
      <c r="C48" s="21">
        <f>IFERROR('Data Sheet'!B61,0)</f>
        <v>17240.37</v>
      </c>
      <c r="D48" s="21">
        <f>IFERROR('Data Sheet'!C61,0)</f>
        <v>21637.62</v>
      </c>
      <c r="E48" s="21">
        <f>IFERROR('Data Sheet'!D61,0)</f>
        <v>25141</v>
      </c>
      <c r="F48" s="21">
        <f>IFERROR('Data Sheet'!E61,0)</f>
        <v>28834.41</v>
      </c>
      <c r="G48" s="21">
        <f>IFERROR('Data Sheet'!F61,0)</f>
        <v>26510.02</v>
      </c>
      <c r="H48" s="21">
        <f>IFERROR('Data Sheet'!G61,0)</f>
        <v>33601.71</v>
      </c>
      <c r="I48" s="21">
        <f>IFERROR('Data Sheet'!H61,0)</f>
        <v>35111.21</v>
      </c>
      <c r="J48" s="21">
        <f>IFERROR('Data Sheet'!I61,0)</f>
        <v>35136.449999999997</v>
      </c>
      <c r="K48" s="21">
        <f>IFERROR('Data Sheet'!J61,0)</f>
        <v>39343.69</v>
      </c>
      <c r="L48" s="21">
        <f>IFERROR('Data Sheet'!K61,0)</f>
        <v>54109.919999999998</v>
      </c>
      <c r="M48" s="21">
        <f>IFERROR('Data Sheet'!L61,0)</f>
        <v>0</v>
      </c>
    </row>
    <row r="49" spans="2:13" x14ac:dyDescent="0.3"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</row>
    <row r="50" spans="2:13" x14ac:dyDescent="0.3">
      <c r="B50" s="3" t="s">
        <v>13</v>
      </c>
      <c r="C50" s="17">
        <f>IFERROR('Data Sheet'!B63,0)</f>
        <v>2025.67</v>
      </c>
      <c r="D50" s="17">
        <f>IFERROR('Data Sheet'!C63,0)</f>
        <v>2001.79</v>
      </c>
      <c r="E50" s="17">
        <f>IFERROR('Data Sheet'!D63,0)</f>
        <v>1878.33</v>
      </c>
      <c r="F50" s="17">
        <f>IFERROR('Data Sheet'!E63,0)</f>
        <v>1763.94</v>
      </c>
      <c r="G50" s="17">
        <f>IFERROR('Data Sheet'!F63,0)</f>
        <v>1699.02</v>
      </c>
      <c r="H50" s="17">
        <f>IFERROR('Data Sheet'!G63,0)</f>
        <v>1667.55</v>
      </c>
      <c r="I50" s="17">
        <f>IFERROR('Data Sheet'!H63,0)</f>
        <v>1836.05</v>
      </c>
      <c r="J50" s="17">
        <f>IFERROR('Data Sheet'!I63,0)</f>
        <v>2842.24</v>
      </c>
      <c r="K50" s="17">
        <f>IFERROR('Data Sheet'!J63,0)</f>
        <v>3217.37</v>
      </c>
      <c r="L50" s="17">
        <f>IFERROR('Data Sheet'!K63,0)</f>
        <v>3676.59</v>
      </c>
      <c r="M50" s="17">
        <f>IFERROR('Data Sheet'!L63,0)</f>
        <v>0</v>
      </c>
    </row>
    <row r="51" spans="2:13" x14ac:dyDescent="0.3">
      <c r="B51" s="3" t="s">
        <v>14</v>
      </c>
      <c r="C51" s="17">
        <f>IFERROR('Data Sheet'!B64,0)</f>
        <v>52.24</v>
      </c>
      <c r="D51" s="17">
        <f>IFERROR('Data Sheet'!C64,0)</f>
        <v>42.17</v>
      </c>
      <c r="E51" s="17">
        <f>IFERROR('Data Sheet'!D64,0)</f>
        <v>56.47</v>
      </c>
      <c r="F51" s="17">
        <f>IFERROR('Data Sheet'!E64,0)</f>
        <v>48.02</v>
      </c>
      <c r="G51" s="17">
        <f>IFERROR('Data Sheet'!F64,0)</f>
        <v>60.19</v>
      </c>
      <c r="H51" s="17">
        <f>IFERROR('Data Sheet'!G64,0)</f>
        <v>15.98</v>
      </c>
      <c r="I51" s="17">
        <f>IFERROR('Data Sheet'!H64,0)</f>
        <v>77.209999999999994</v>
      </c>
      <c r="J51" s="17">
        <f>IFERROR('Data Sheet'!I64,0)</f>
        <v>85.27</v>
      </c>
      <c r="K51" s="17">
        <f>IFERROR('Data Sheet'!J64,0)</f>
        <v>35.1</v>
      </c>
      <c r="L51" s="17">
        <f>IFERROR('Data Sheet'!K64,0)</f>
        <v>60.8</v>
      </c>
      <c r="M51" s="17">
        <f>IFERROR('Data Sheet'!L64,0)</f>
        <v>0</v>
      </c>
    </row>
    <row r="52" spans="2:13" x14ac:dyDescent="0.3">
      <c r="B52" s="3" t="s">
        <v>15</v>
      </c>
      <c r="C52" s="17">
        <f>IFERROR('Data Sheet'!B65,0)</f>
        <v>11067.23</v>
      </c>
      <c r="D52" s="17">
        <f>IFERROR('Data Sheet'!C65,0)</f>
        <v>15477.04</v>
      </c>
      <c r="E52" s="17">
        <f>IFERROR('Data Sheet'!D65,0)</f>
        <v>18894.57</v>
      </c>
      <c r="F52" s="17">
        <f>IFERROR('Data Sheet'!E65,0)</f>
        <v>20602.849999999999</v>
      </c>
      <c r="G52" s="17">
        <f>IFERROR('Data Sheet'!F65,0)</f>
        <v>19913.580000000002</v>
      </c>
      <c r="H52" s="17">
        <f>IFERROR('Data Sheet'!G65,0)</f>
        <v>24686.65</v>
      </c>
      <c r="I52" s="17">
        <f>IFERROR('Data Sheet'!H65,0)</f>
        <v>26634.12</v>
      </c>
      <c r="J52" s="17">
        <f>IFERROR('Data Sheet'!I65,0)</f>
        <v>26182.91</v>
      </c>
      <c r="K52" s="17">
        <f>IFERROR('Data Sheet'!J65,0)</f>
        <v>28086.68</v>
      </c>
      <c r="L52" s="17">
        <f>IFERROR('Data Sheet'!K65,0)</f>
        <v>28913.87</v>
      </c>
      <c r="M52" s="17">
        <f>IFERROR('Data Sheet'!L65,0)</f>
        <v>0</v>
      </c>
    </row>
    <row r="53" spans="2:13" x14ac:dyDescent="0.3">
      <c r="B53" s="3" t="s">
        <v>37</v>
      </c>
      <c r="C53" s="17">
        <f>IFERROR('Data Sheet'!B66,0)</f>
        <v>4095.23</v>
      </c>
      <c r="D53" s="17">
        <f>IFERROR('Data Sheet'!C66,0)</f>
        <v>4116.62</v>
      </c>
      <c r="E53" s="17">
        <f>IFERROR('Data Sheet'!D66,0)</f>
        <v>4311.63</v>
      </c>
      <c r="F53" s="17">
        <f>IFERROR('Data Sheet'!E66,0)</f>
        <v>6419.6</v>
      </c>
      <c r="G53" s="17">
        <f>IFERROR('Data Sheet'!F66,0)</f>
        <v>4837.2299999999996</v>
      </c>
      <c r="H53" s="17">
        <f>IFERROR('Data Sheet'!G66,0)</f>
        <v>7231.53</v>
      </c>
      <c r="I53" s="17">
        <f>IFERROR('Data Sheet'!H66,0)</f>
        <v>6563.83</v>
      </c>
      <c r="J53" s="17">
        <f>IFERROR('Data Sheet'!I66,0)</f>
        <v>6026.03</v>
      </c>
      <c r="K53" s="17">
        <f>IFERROR('Data Sheet'!J66,0)</f>
        <v>8004.54</v>
      </c>
      <c r="L53" s="17">
        <f>IFERROR('Data Sheet'!K66,0)</f>
        <v>21458.66</v>
      </c>
      <c r="M53" s="17">
        <f>IFERROR('Data Sheet'!L66,0)</f>
        <v>0</v>
      </c>
    </row>
    <row r="54" spans="2:13" x14ac:dyDescent="0.3">
      <c r="B54" s="1" t="s">
        <v>84</v>
      </c>
      <c r="C54" s="21">
        <f>IFERROR(SUM(C50:C53)-SUM(C56:C58),0)</f>
        <v>14936.34</v>
      </c>
      <c r="D54" s="21">
        <f t="shared" ref="D54:M54" si="17">IFERROR(SUM(D50:D53)-SUM(D56:D58),0)</f>
        <v>19654.59</v>
      </c>
      <c r="E54" s="21">
        <f t="shared" si="17"/>
        <v>22113.89</v>
      </c>
      <c r="F54" s="21">
        <f t="shared" si="17"/>
        <v>24380.139999999996</v>
      </c>
      <c r="G54" s="21">
        <f t="shared" si="17"/>
        <v>23405.08</v>
      </c>
      <c r="H54" s="21">
        <f t="shared" si="17"/>
        <v>28852.129999999997</v>
      </c>
      <c r="I54" s="21">
        <f t="shared" si="17"/>
        <v>31406.26</v>
      </c>
      <c r="J54" s="21">
        <f t="shared" si="17"/>
        <v>31129.989999999998</v>
      </c>
      <c r="K54" s="21">
        <f t="shared" si="17"/>
        <v>34624.090000000004</v>
      </c>
      <c r="L54" s="21">
        <f t="shared" si="17"/>
        <v>47059.74</v>
      </c>
      <c r="M54" s="21">
        <f t="shared" si="17"/>
        <v>0</v>
      </c>
    </row>
    <row r="55" spans="2:13" x14ac:dyDescent="0.3"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</row>
    <row r="56" spans="2:13" x14ac:dyDescent="0.3">
      <c r="B56" s="3" t="s">
        <v>42</v>
      </c>
      <c r="C56" s="17">
        <f>IFERROR('Data Sheet'!B68,0)</f>
        <v>717.93</v>
      </c>
      <c r="D56" s="17">
        <f>IFERROR('Data Sheet'!C68,0)</f>
        <v>953.29</v>
      </c>
      <c r="E56" s="17">
        <f>IFERROR('Data Sheet'!D68,0)</f>
        <v>1491.87</v>
      </c>
      <c r="F56" s="17">
        <f>IFERROR('Data Sheet'!E68,0)</f>
        <v>2559.69</v>
      </c>
      <c r="G56" s="17">
        <f>IFERROR('Data Sheet'!F68,0)</f>
        <v>1725.1</v>
      </c>
      <c r="H56" s="17">
        <f>IFERROR('Data Sheet'!G68,0)</f>
        <v>2716.85</v>
      </c>
      <c r="I56" s="17">
        <f>IFERROR('Data Sheet'!H68,0)</f>
        <v>1516.38</v>
      </c>
      <c r="J56" s="17">
        <f>IFERROR('Data Sheet'!I68,0)</f>
        <v>1752.43</v>
      </c>
      <c r="K56" s="17">
        <f>IFERROR('Data Sheet'!J68,0)</f>
        <v>2075.5300000000002</v>
      </c>
      <c r="L56" s="17">
        <f>IFERROR('Data Sheet'!K68,0)</f>
        <v>2125.2199999999998</v>
      </c>
      <c r="M56" s="17">
        <f>IFERROR('Data Sheet'!L68,0)</f>
        <v>0</v>
      </c>
    </row>
    <row r="57" spans="2:13" x14ac:dyDescent="0.3">
      <c r="B57" s="3" t="s">
        <v>29</v>
      </c>
      <c r="C57" s="17">
        <f>IFERROR('Data Sheet'!B69,0)</f>
        <v>719.07</v>
      </c>
      <c r="D57" s="17">
        <f>IFERROR('Data Sheet'!C69,0)</f>
        <v>728.38</v>
      </c>
      <c r="E57" s="17">
        <f>IFERROR('Data Sheet'!D69,0)</f>
        <v>742.58</v>
      </c>
      <c r="F57" s="17">
        <f>IFERROR('Data Sheet'!E69,0)</f>
        <v>961.51</v>
      </c>
      <c r="G57" s="17">
        <f>IFERROR('Data Sheet'!F69,0)</f>
        <v>1063.5</v>
      </c>
      <c r="H57" s="17">
        <f>IFERROR('Data Sheet'!G69,0)</f>
        <v>1493.89</v>
      </c>
      <c r="I57" s="17">
        <f>IFERROR('Data Sheet'!H69,0)</f>
        <v>1230.51</v>
      </c>
      <c r="J57" s="17">
        <f>IFERROR('Data Sheet'!I69,0)</f>
        <v>1563.55</v>
      </c>
      <c r="K57" s="17">
        <f>IFERROR('Data Sheet'!J69,0)</f>
        <v>1688.75</v>
      </c>
      <c r="L57" s="17">
        <f>IFERROR('Data Sheet'!K69,0)</f>
        <v>2077.36</v>
      </c>
      <c r="M57" s="17">
        <f>IFERROR('Data Sheet'!L69,0)</f>
        <v>0</v>
      </c>
    </row>
    <row r="58" spans="2:13" x14ac:dyDescent="0.3">
      <c r="B58" s="2" t="s">
        <v>51</v>
      </c>
      <c r="C58" s="17">
        <f>IFERROR('Data Sheet'!B70,0)</f>
        <v>867.03</v>
      </c>
      <c r="D58" s="17">
        <f>IFERROR('Data Sheet'!C70,0)</f>
        <v>301.36</v>
      </c>
      <c r="E58" s="17">
        <f>IFERROR('Data Sheet'!D70,0)</f>
        <v>792.66</v>
      </c>
      <c r="F58" s="17">
        <f>IFERROR('Data Sheet'!E70,0)</f>
        <v>933.07</v>
      </c>
      <c r="G58" s="17">
        <f>IFERROR('Data Sheet'!F70,0)</f>
        <v>316.33999999999997</v>
      </c>
      <c r="H58" s="17">
        <f>IFERROR('Data Sheet'!G70,0)</f>
        <v>538.84</v>
      </c>
      <c r="I58" s="17">
        <f>IFERROR('Data Sheet'!H70,0)</f>
        <v>958.06</v>
      </c>
      <c r="J58" s="17">
        <f>IFERROR('Data Sheet'!I70,0)</f>
        <v>690.48</v>
      </c>
      <c r="K58" s="17">
        <f>IFERROR('Data Sheet'!J70,0)</f>
        <v>955.32</v>
      </c>
      <c r="L58" s="17">
        <f>IFERROR('Data Sheet'!K70,0)</f>
        <v>2847.6</v>
      </c>
      <c r="M58" s="17">
        <f>IFERROR('Data Sheet'!L70,0)</f>
        <v>0</v>
      </c>
    </row>
    <row r="59" spans="2:13" x14ac:dyDescent="0.3">
      <c r="B59" s="2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</row>
    <row r="60" spans="2:13" x14ac:dyDescent="0.3">
      <c r="B60" s="20" t="s">
        <v>86</v>
      </c>
      <c r="C60" s="21">
        <f t="shared" ref="C60:L60" si="18">IFERROR(SUM(C56:C58),0)</f>
        <v>2304.0299999999997</v>
      </c>
      <c r="D60" s="21">
        <f t="shared" si="18"/>
        <v>1983.0300000000002</v>
      </c>
      <c r="E60" s="21">
        <f t="shared" si="18"/>
        <v>3027.1099999999997</v>
      </c>
      <c r="F60" s="21">
        <f t="shared" si="18"/>
        <v>4454.2699999999995</v>
      </c>
      <c r="G60" s="21">
        <f t="shared" si="18"/>
        <v>3104.94</v>
      </c>
      <c r="H60" s="21">
        <f t="shared" si="18"/>
        <v>4749.58</v>
      </c>
      <c r="I60" s="21">
        <f t="shared" si="18"/>
        <v>3704.9500000000003</v>
      </c>
      <c r="J60" s="21">
        <f t="shared" si="18"/>
        <v>4006.46</v>
      </c>
      <c r="K60" s="21">
        <f t="shared" si="18"/>
        <v>4719.6000000000004</v>
      </c>
      <c r="L60" s="21">
        <f t="shared" si="18"/>
        <v>7050.18</v>
      </c>
      <c r="M60" s="21">
        <f t="shared" ref="M60" si="19">IFERROR(SUM(M56:M58),0)</f>
        <v>0</v>
      </c>
    </row>
    <row r="61" spans="2:13" x14ac:dyDescent="0.3">
      <c r="B61" s="20" t="s">
        <v>85</v>
      </c>
      <c r="C61" s="21">
        <f t="shared" ref="C61:M61" si="20">IFERROR(SUM(C60,C54),0)</f>
        <v>17240.37</v>
      </c>
      <c r="D61" s="21">
        <f t="shared" si="20"/>
        <v>21637.62</v>
      </c>
      <c r="E61" s="21">
        <f t="shared" si="20"/>
        <v>25141</v>
      </c>
      <c r="F61" s="21">
        <f t="shared" si="20"/>
        <v>28834.409999999996</v>
      </c>
      <c r="G61" s="21">
        <f t="shared" si="20"/>
        <v>26510.02</v>
      </c>
      <c r="H61" s="21">
        <f t="shared" si="20"/>
        <v>33601.71</v>
      </c>
      <c r="I61" s="21">
        <f t="shared" si="20"/>
        <v>35111.21</v>
      </c>
      <c r="J61" s="21">
        <f t="shared" si="20"/>
        <v>35136.449999999997</v>
      </c>
      <c r="K61" s="21">
        <f t="shared" si="20"/>
        <v>39343.69</v>
      </c>
      <c r="L61" s="21">
        <f t="shared" si="20"/>
        <v>54109.919999999998</v>
      </c>
      <c r="M61" s="21">
        <f t="shared" si="20"/>
        <v>0</v>
      </c>
    </row>
    <row r="63" spans="2:13" x14ac:dyDescent="0.3">
      <c r="B63" s="15" t="s">
        <v>87</v>
      </c>
      <c r="C63" s="15" t="b">
        <f>C61=C48</f>
        <v>1</v>
      </c>
      <c r="D63" s="15" t="b">
        <f t="shared" ref="D63:M63" si="21">D61=D48</f>
        <v>1</v>
      </c>
      <c r="E63" s="15" t="b">
        <f t="shared" si="21"/>
        <v>1</v>
      </c>
      <c r="F63" s="15" t="b">
        <f t="shared" si="21"/>
        <v>1</v>
      </c>
      <c r="G63" s="15" t="b">
        <f t="shared" si="21"/>
        <v>1</v>
      </c>
      <c r="H63" s="15" t="b">
        <f t="shared" si="21"/>
        <v>1</v>
      </c>
      <c r="I63" s="15" t="b">
        <f t="shared" si="21"/>
        <v>1</v>
      </c>
      <c r="J63" s="15" t="b">
        <f t="shared" si="21"/>
        <v>1</v>
      </c>
      <c r="K63" s="15" t="b">
        <f t="shared" si="21"/>
        <v>1</v>
      </c>
      <c r="L63" s="15" t="b">
        <f t="shared" si="21"/>
        <v>1</v>
      </c>
      <c r="M63" s="15" t="b">
        <f t="shared" si="21"/>
        <v>1</v>
      </c>
    </row>
    <row r="65" spans="1:13" x14ac:dyDescent="0.3">
      <c r="A65" t="s">
        <v>56</v>
      </c>
      <c r="B65" s="18" t="s">
        <v>88</v>
      </c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</row>
    <row r="66" spans="1:13" x14ac:dyDescent="0.3">
      <c r="B66" s="23" t="s">
        <v>89</v>
      </c>
    </row>
    <row r="67" spans="1:13" x14ac:dyDescent="0.3">
      <c r="B67" t="s">
        <v>90</v>
      </c>
      <c r="C67" s="17">
        <f>IFERROR('Cashflow Data'!C4,0)</f>
        <v>4930</v>
      </c>
      <c r="D67" s="17">
        <f>IFERROR('Cashflow Data'!D4,0)</f>
        <v>4613</v>
      </c>
      <c r="E67" s="17">
        <f>IFERROR('Cashflow Data'!E4,0)</f>
        <v>4922</v>
      </c>
      <c r="F67" s="17">
        <f>IFERROR('Cashflow Data'!F4,0)</f>
        <v>5249</v>
      </c>
      <c r="G67" s="17">
        <f>IFERROR('Cashflow Data'!G4,0)</f>
        <v>5163</v>
      </c>
      <c r="H67" s="17">
        <f>IFERROR('Cashflow Data'!H4,0)</f>
        <v>4961</v>
      </c>
      <c r="I67" s="17">
        <f>IFERROR('Cashflow Data'!I4,0)</f>
        <v>5300</v>
      </c>
      <c r="J67" s="17">
        <f>IFERROR('Cashflow Data'!J4,0)</f>
        <v>6609</v>
      </c>
      <c r="K67" s="17">
        <f>IFERROR('Cashflow Data'!K4,0)</f>
        <v>8784</v>
      </c>
      <c r="L67" s="17">
        <f>IFERROR('Cashflow Data'!L4,0)</f>
        <v>10404</v>
      </c>
      <c r="M67" s="17">
        <f>IFERROR('Cashflow Data'!M3,0)</f>
        <v>0</v>
      </c>
    </row>
    <row r="68" spans="1:13" x14ac:dyDescent="0.3">
      <c r="B68" t="s">
        <v>42</v>
      </c>
      <c r="C68" s="17">
        <f>IFERROR('Cashflow Data'!C5,0)</f>
        <v>-5</v>
      </c>
      <c r="D68" s="17">
        <f>IFERROR('Cashflow Data'!D5,0)</f>
        <v>-241</v>
      </c>
      <c r="E68" s="17">
        <f>IFERROR('Cashflow Data'!E5,0)</f>
        <v>-539</v>
      </c>
      <c r="F68" s="17">
        <f>IFERROR('Cashflow Data'!F5,0)</f>
        <v>-1070</v>
      </c>
      <c r="G68" s="17">
        <f>IFERROR('Cashflow Data'!G5,0)</f>
        <v>829</v>
      </c>
      <c r="H68" s="17">
        <f>IFERROR('Cashflow Data'!H5,0)</f>
        <v>-1002</v>
      </c>
      <c r="I68" s="17">
        <f>IFERROR('Cashflow Data'!I5,0)</f>
        <v>1203</v>
      </c>
      <c r="J68" s="17">
        <f>IFERROR('Cashflow Data'!J5,0)</f>
        <v>-243</v>
      </c>
      <c r="K68" s="17">
        <f>IFERROR('Cashflow Data'!K5,0)</f>
        <v>-293</v>
      </c>
      <c r="L68" s="17">
        <f>IFERROR('Cashflow Data'!L5,0)</f>
        <v>-52</v>
      </c>
      <c r="M68" s="17">
        <f>IFERROR('Cashflow Data'!K5,0)</f>
        <v>-293</v>
      </c>
    </row>
    <row r="69" spans="1:13" x14ac:dyDescent="0.3">
      <c r="B69" t="s">
        <v>29</v>
      </c>
      <c r="C69" s="17">
        <f>IFERROR('Cashflow Data'!C6,0)</f>
        <v>95</v>
      </c>
      <c r="D69" s="17">
        <f>IFERROR('Cashflow Data'!D6,0)</f>
        <v>-9</v>
      </c>
      <c r="E69" s="17">
        <f>IFERROR('Cashflow Data'!E6,0)</f>
        <v>-14</v>
      </c>
      <c r="F69" s="17">
        <f>IFERROR('Cashflow Data'!F6,0)</f>
        <v>-219</v>
      </c>
      <c r="G69" s="17">
        <f>IFERROR('Cashflow Data'!G6,0)</f>
        <v>-102</v>
      </c>
      <c r="H69" s="17">
        <f>IFERROR('Cashflow Data'!H6,0)</f>
        <v>-430</v>
      </c>
      <c r="I69" s="17">
        <f>IFERROR('Cashflow Data'!I6,0)</f>
        <v>263</v>
      </c>
      <c r="J69" s="17">
        <f>IFERROR('Cashflow Data'!J6,0)</f>
        <v>-333</v>
      </c>
      <c r="K69" s="17">
        <f>IFERROR('Cashflow Data'!K6,0)</f>
        <v>-125</v>
      </c>
      <c r="L69" s="17">
        <f>IFERROR('Cashflow Data'!L6,0)</f>
        <v>-389</v>
      </c>
      <c r="M69" s="17">
        <f>IFERROR('Cashflow Data'!K6,0)</f>
        <v>-125</v>
      </c>
    </row>
    <row r="70" spans="1:13" x14ac:dyDescent="0.3">
      <c r="B70" t="s">
        <v>91</v>
      </c>
      <c r="C70" s="17">
        <f>IFERROR('Cashflow Data'!N7,0)</f>
        <v>0</v>
      </c>
      <c r="D70" s="17">
        <f>IFERROR('Cashflow Data'!O7,0)</f>
        <v>0</v>
      </c>
      <c r="E70" s="17">
        <f>IFERROR('Cashflow Data'!P7,0)</f>
        <v>0</v>
      </c>
      <c r="F70" s="17">
        <f>IFERROR('Cashflow Data'!Q7,0)</f>
        <v>0</v>
      </c>
      <c r="G70" s="17">
        <f>IFERROR('Cashflow Data'!R7,0)</f>
        <v>0</v>
      </c>
      <c r="H70" s="17">
        <f>IFERROR('Cashflow Data'!S7,0)</f>
        <v>0</v>
      </c>
      <c r="I70" s="17">
        <f>IFERROR('Cashflow Data'!T7,0)</f>
        <v>0</v>
      </c>
      <c r="J70" s="17">
        <f>IFERROR('Cashflow Data'!U7,0)</f>
        <v>0</v>
      </c>
      <c r="K70" s="17">
        <f>IFERROR('Cashflow Data'!V7,0)</f>
        <v>0</v>
      </c>
      <c r="L70" s="17">
        <f>IFERROR('Cashflow Data'!W7,0)</f>
        <v>0</v>
      </c>
      <c r="M70" s="17">
        <f>IFERROR('Cashflow Data'!K7,0)</f>
        <v>0</v>
      </c>
    </row>
    <row r="71" spans="1:13" x14ac:dyDescent="0.3">
      <c r="B71" t="s">
        <v>92</v>
      </c>
      <c r="C71" s="17">
        <f>IFERROR('Cashflow Data'!C7,0)</f>
        <v>0</v>
      </c>
      <c r="D71" s="17">
        <f>IFERROR('Cashflow Data'!D7,0)</f>
        <v>0</v>
      </c>
      <c r="E71" s="17">
        <f>IFERROR('Cashflow Data'!E7,0)</f>
        <v>0</v>
      </c>
      <c r="F71" s="17">
        <f>IFERROR('Cashflow Data'!F7,0)</f>
        <v>0</v>
      </c>
      <c r="G71" s="17">
        <f>IFERROR('Cashflow Data'!G7,0)</f>
        <v>0</v>
      </c>
      <c r="H71" s="17">
        <f>IFERROR('Cashflow Data'!H7,0)</f>
        <v>0</v>
      </c>
      <c r="I71" s="17">
        <f>IFERROR('Cashflow Data'!I7,0)</f>
        <v>0</v>
      </c>
      <c r="J71" s="17">
        <f>IFERROR('Cashflow Data'!J7,0)</f>
        <v>0</v>
      </c>
      <c r="K71" s="17">
        <f>IFERROR('Cashflow Data'!K7,0)</f>
        <v>0</v>
      </c>
      <c r="L71" s="17">
        <f>IFERROR('Cashflow Data'!L7,0)</f>
        <v>-9848</v>
      </c>
      <c r="M71" s="17">
        <f>IFERROR('Cashflow Data'!K8,0)</f>
        <v>579</v>
      </c>
    </row>
    <row r="72" spans="1:13" x14ac:dyDescent="0.3">
      <c r="B72" t="s">
        <v>93</v>
      </c>
      <c r="C72" s="17">
        <f>IFERROR('Cashflow Data'!C8,0)</f>
        <v>489</v>
      </c>
      <c r="D72" s="17">
        <f>IFERROR('Cashflow Data'!D8,0)</f>
        <v>407</v>
      </c>
      <c r="E72" s="17">
        <f>IFERROR('Cashflow Data'!E8,0)</f>
        <v>1644</v>
      </c>
      <c r="F72" s="17">
        <f>IFERROR('Cashflow Data'!F8,0)</f>
        <v>491</v>
      </c>
      <c r="G72" s="17">
        <f>IFERROR('Cashflow Data'!G8,0)</f>
        <v>-361</v>
      </c>
      <c r="H72" s="17">
        <f>IFERROR('Cashflow Data'!H8,0)</f>
        <v>931</v>
      </c>
      <c r="I72" s="17">
        <f>IFERROR('Cashflow Data'!I8,0)</f>
        <v>-867</v>
      </c>
      <c r="J72" s="17">
        <f>IFERROR('Cashflow Data'!J8,0)</f>
        <v>1164</v>
      </c>
      <c r="K72" s="17">
        <f>IFERROR('Cashflow Data'!K8,0)</f>
        <v>579</v>
      </c>
      <c r="L72" s="17">
        <f>IFERROR('Cashflow Data'!L8,0)</f>
        <v>1229</v>
      </c>
      <c r="M72" s="17">
        <f>IFERROR('Cashflow Data'!K9,0)</f>
        <v>161</v>
      </c>
    </row>
    <row r="73" spans="1:13" x14ac:dyDescent="0.3">
      <c r="B73" t="s">
        <v>95</v>
      </c>
      <c r="C73" s="17">
        <f>IFERROR('Cashflow Data'!C10,0)</f>
        <v>-1819</v>
      </c>
      <c r="D73" s="17">
        <f>IFERROR('Cashflow Data'!D10,0)</f>
        <v>-1503</v>
      </c>
      <c r="E73" s="17">
        <f>IFERROR('Cashflow Data'!E10,0)</f>
        <v>-1685</v>
      </c>
      <c r="F73" s="17">
        <f>IFERROR('Cashflow Data'!F10,0)</f>
        <v>-1964</v>
      </c>
      <c r="G73" s="17">
        <f>IFERROR('Cashflow Data'!G10,0)</f>
        <v>-1678</v>
      </c>
      <c r="H73" s="17">
        <f>IFERROR('Cashflow Data'!H10,0)</f>
        <v>-1340</v>
      </c>
      <c r="I73" s="17">
        <f>IFERROR('Cashflow Data'!I10,0)</f>
        <v>-1702</v>
      </c>
      <c r="J73" s="17">
        <f>IFERROR('Cashflow Data'!J10,0)</f>
        <v>-1919</v>
      </c>
      <c r="K73" s="17">
        <f>IFERROR('Cashflow Data'!K10,0)</f>
        <v>-2387</v>
      </c>
      <c r="L73" s="17">
        <f>IFERROR('Cashflow Data'!L10,0)</f>
        <v>-2750</v>
      </c>
      <c r="M73" s="17">
        <f>IFERROR('Cashflow Data'!K11,0)</f>
        <v>-72</v>
      </c>
    </row>
    <row r="74" spans="1:13" x14ac:dyDescent="0.3">
      <c r="B74" s="23" t="s">
        <v>111</v>
      </c>
      <c r="C74" s="17">
        <f t="shared" ref="C74:M74" si="22">SUM(C67:C73)</f>
        <v>3690</v>
      </c>
      <c r="D74" s="17">
        <f t="shared" si="22"/>
        <v>3267</v>
      </c>
      <c r="E74" s="17">
        <f t="shared" si="22"/>
        <v>4328</v>
      </c>
      <c r="F74" s="17">
        <f t="shared" si="22"/>
        <v>2487</v>
      </c>
      <c r="G74" s="17">
        <f t="shared" si="22"/>
        <v>3851</v>
      </c>
      <c r="H74" s="17">
        <f t="shared" si="22"/>
        <v>3120</v>
      </c>
      <c r="I74" s="17">
        <f t="shared" si="22"/>
        <v>4197</v>
      </c>
      <c r="J74" s="17">
        <f t="shared" si="22"/>
        <v>5278</v>
      </c>
      <c r="K74" s="17">
        <f t="shared" si="22"/>
        <v>6558</v>
      </c>
      <c r="L74" s="17">
        <f t="shared" si="22"/>
        <v>-1406</v>
      </c>
      <c r="M74" s="17">
        <f t="shared" si="22"/>
        <v>250</v>
      </c>
    </row>
    <row r="76" spans="1:13" x14ac:dyDescent="0.3">
      <c r="B76" s="23" t="s">
        <v>96</v>
      </c>
    </row>
    <row r="77" spans="1:13" x14ac:dyDescent="0.3">
      <c r="B77" t="s">
        <v>97</v>
      </c>
      <c r="C77" s="17">
        <f>IFERROR('Cashflow Data'!C12,0)</f>
        <v>-271</v>
      </c>
      <c r="D77" s="17">
        <f>IFERROR('Cashflow Data'!D12,0)</f>
        <v>-206</v>
      </c>
      <c r="E77" s="17">
        <f>IFERROR('Cashflow Data'!E12,0)</f>
        <v>-196</v>
      </c>
      <c r="F77" s="17">
        <f>IFERROR('Cashflow Data'!F12,0)</f>
        <v>-184</v>
      </c>
      <c r="G77" s="17">
        <f>IFERROR('Cashflow Data'!G12,0)</f>
        <v>-297</v>
      </c>
      <c r="H77" s="17">
        <f>IFERROR('Cashflow Data'!H12,0)</f>
        <v>-260</v>
      </c>
      <c r="I77" s="17">
        <f>IFERROR('Cashflow Data'!I12,0)</f>
        <v>-551</v>
      </c>
      <c r="J77" s="17">
        <f>IFERROR('Cashflow Data'!J12,0)</f>
        <v>-1110</v>
      </c>
      <c r="K77" s="17">
        <f>IFERROR('Cashflow Data'!K12,0)</f>
        <v>-723</v>
      </c>
      <c r="L77" s="17">
        <f>IFERROR('Cashflow Data'!L12,0)</f>
        <v>-874</v>
      </c>
      <c r="M77" s="17">
        <f>IFERROR('Cashflow Data'!K13,0)</f>
        <v>12</v>
      </c>
    </row>
    <row r="78" spans="1:13" x14ac:dyDescent="0.3">
      <c r="B78" t="s">
        <v>98</v>
      </c>
      <c r="C78" s="17">
        <f>IFERROR('Cashflow Data'!C13,0)</f>
        <v>0</v>
      </c>
      <c r="D78" s="17">
        <f>IFERROR('Cashflow Data'!D13,0)</f>
        <v>9</v>
      </c>
      <c r="E78" s="17">
        <f>IFERROR('Cashflow Data'!E13,0)</f>
        <v>13</v>
      </c>
      <c r="F78" s="17">
        <f>IFERROR('Cashflow Data'!F13,0)</f>
        <v>76</v>
      </c>
      <c r="G78" s="17">
        <f>IFERROR('Cashflow Data'!G13,0)</f>
        <v>17</v>
      </c>
      <c r="H78" s="17">
        <f>IFERROR('Cashflow Data'!H13,0)</f>
        <v>6</v>
      </c>
      <c r="I78" s="17">
        <f>IFERROR('Cashflow Data'!I13,0)</f>
        <v>33</v>
      </c>
      <c r="J78" s="17">
        <f>IFERROR('Cashflow Data'!J13,0)</f>
        <v>137</v>
      </c>
      <c r="K78" s="17">
        <f>IFERROR('Cashflow Data'!K13,0)</f>
        <v>12</v>
      </c>
      <c r="L78" s="17">
        <f>IFERROR('Cashflow Data'!L13,0)</f>
        <v>6</v>
      </c>
      <c r="M78" s="17">
        <f>IFERROR('Cashflow Data'!K14,0)</f>
        <v>-17365</v>
      </c>
    </row>
    <row r="79" spans="1:13" x14ac:dyDescent="0.3">
      <c r="B79" t="s">
        <v>99</v>
      </c>
      <c r="C79" s="17">
        <f>IFERROR('Cashflow Data'!C14,0)</f>
        <v>-6263</v>
      </c>
      <c r="D79" s="17">
        <f>IFERROR('Cashflow Data'!D14,0)</f>
        <v>-5783</v>
      </c>
      <c r="E79" s="17">
        <f>IFERROR('Cashflow Data'!E14,0)</f>
        <v>-7484</v>
      </c>
      <c r="F79" s="17">
        <f>IFERROR('Cashflow Data'!F14,0)</f>
        <v>-9601</v>
      </c>
      <c r="G79" s="17">
        <f>IFERROR('Cashflow Data'!G14,0)</f>
        <v>-3518</v>
      </c>
      <c r="H79" s="17">
        <f>IFERROR('Cashflow Data'!H14,0)</f>
        <v>-6240</v>
      </c>
      <c r="I79" s="17">
        <f>IFERROR('Cashflow Data'!I14,0)</f>
        <v>-11293</v>
      </c>
      <c r="J79" s="17">
        <f>IFERROR('Cashflow Data'!J14,0)</f>
        <v>-9384</v>
      </c>
      <c r="K79" s="17">
        <f>IFERROR('Cashflow Data'!K14,0)</f>
        <v>-17365</v>
      </c>
      <c r="L79" s="17">
        <f>IFERROR('Cashflow Data'!L14,0)</f>
        <v>-11897</v>
      </c>
      <c r="M79" s="17">
        <f>IFERROR('Cashflow Data'!K15,0)</f>
        <v>17248</v>
      </c>
    </row>
    <row r="80" spans="1:13" x14ac:dyDescent="0.3">
      <c r="B80" t="s">
        <v>100</v>
      </c>
      <c r="C80" s="17">
        <f>IFERROR('Cashflow Data'!C15,0)</f>
        <v>6360</v>
      </c>
      <c r="D80" s="17">
        <f>IFERROR('Cashflow Data'!D15,0)</f>
        <v>2200</v>
      </c>
      <c r="E80" s="17">
        <f>IFERROR('Cashflow Data'!E15,0)</f>
        <v>5547</v>
      </c>
      <c r="F80" s="17">
        <f>IFERROR('Cashflow Data'!F15,0)</f>
        <v>9355</v>
      </c>
      <c r="G80" s="17">
        <f>IFERROR('Cashflow Data'!G15,0)</f>
        <v>5346</v>
      </c>
      <c r="H80" s="17">
        <f>IFERROR('Cashflow Data'!H15,0)</f>
        <v>3556</v>
      </c>
      <c r="I80" s="17">
        <f>IFERROR('Cashflow Data'!I15,0)</f>
        <v>11527</v>
      </c>
      <c r="J80" s="17">
        <f>IFERROR('Cashflow Data'!J15,0)</f>
        <v>11553</v>
      </c>
      <c r="K80" s="17">
        <f>IFERROR('Cashflow Data'!K15,0)</f>
        <v>17248</v>
      </c>
      <c r="L80" s="17">
        <f>IFERROR('Cashflow Data'!L15,0)</f>
        <v>11229</v>
      </c>
      <c r="M80" s="17">
        <f>IFERROR('Cashflow Data'!K16,0)</f>
        <v>0</v>
      </c>
    </row>
    <row r="81" spans="2:13" x14ac:dyDescent="0.3">
      <c r="B81" t="s">
        <v>101</v>
      </c>
      <c r="C81" s="17">
        <f>IFERROR('Cashflow Data'!C17,0)</f>
        <v>92</v>
      </c>
      <c r="D81" s="17">
        <f>IFERROR('Cashflow Data'!D17,0)</f>
        <v>63</v>
      </c>
      <c r="E81" s="17">
        <f>IFERROR('Cashflow Data'!E17,0)</f>
        <v>70</v>
      </c>
      <c r="F81" s="17">
        <f>IFERROR('Cashflow Data'!F17,0)</f>
        <v>16</v>
      </c>
      <c r="G81" s="17">
        <f>IFERROR('Cashflow Data'!G17,0)</f>
        <v>23</v>
      </c>
      <c r="H81" s="17">
        <f>IFERROR('Cashflow Data'!H17,0)</f>
        <v>66</v>
      </c>
      <c r="I81" s="17">
        <f>IFERROR('Cashflow Data'!I17,0)</f>
        <v>197</v>
      </c>
      <c r="J81" s="17">
        <f>IFERROR('Cashflow Data'!J17,0)</f>
        <v>376</v>
      </c>
      <c r="K81" s="17">
        <f>IFERROR('Cashflow Data'!K17,0)</f>
        <v>413</v>
      </c>
      <c r="L81" s="17">
        <f>IFERROR('Cashflow Data'!L17,0)</f>
        <v>277</v>
      </c>
      <c r="M81" s="17">
        <f>IFERROR('Cashflow Data'!K17,0)</f>
        <v>413</v>
      </c>
    </row>
    <row r="82" spans="2:13" x14ac:dyDescent="0.3">
      <c r="B82" t="s">
        <v>102</v>
      </c>
      <c r="C82" s="17">
        <f>IFERROR('Cashflow Data'!C18,0)</f>
        <v>0</v>
      </c>
      <c r="D82" s="17">
        <f>IFERROR('Cashflow Data'!D18,0)</f>
        <v>0</v>
      </c>
      <c r="E82" s="17">
        <f>IFERROR('Cashflow Data'!E18,0)</f>
        <v>0</v>
      </c>
      <c r="F82" s="17">
        <f>IFERROR('Cashflow Data'!F18,0)</f>
        <v>0</v>
      </c>
      <c r="G82" s="17">
        <f>IFERROR('Cashflow Data'!G18,0)</f>
        <v>25</v>
      </c>
      <c r="H82" s="17">
        <f>IFERROR('Cashflow Data'!H18,0)</f>
        <v>0</v>
      </c>
      <c r="I82" s="17">
        <f>IFERROR('Cashflow Data'!I18,0)</f>
        <v>46</v>
      </c>
      <c r="J82" s="17">
        <f>IFERROR('Cashflow Data'!J18,0)</f>
        <v>47</v>
      </c>
      <c r="K82" s="17">
        <f>IFERROR('Cashflow Data'!K18,0)</f>
        <v>43</v>
      </c>
      <c r="L82" s="17">
        <f>IFERROR('Cashflow Data'!L18,0)</f>
        <v>30</v>
      </c>
      <c r="M82" s="17">
        <f>IFERROR('Cashflow Data'!K18,0)</f>
        <v>43</v>
      </c>
    </row>
    <row r="83" spans="2:13" x14ac:dyDescent="0.3">
      <c r="B83" t="s">
        <v>103</v>
      </c>
      <c r="C83" s="17">
        <f>IFERROR('Cashflow Data'!C19,0)</f>
        <v>15</v>
      </c>
      <c r="D83" s="17">
        <f>IFERROR('Cashflow Data'!D19,0)</f>
        <v>107</v>
      </c>
      <c r="E83" s="17">
        <f>IFERROR('Cashflow Data'!E19,0)</f>
        <v>95</v>
      </c>
      <c r="F83" s="17">
        <f>IFERROR('Cashflow Data'!F19,0)</f>
        <v>65</v>
      </c>
      <c r="G83" s="17">
        <f>IFERROR('Cashflow Data'!G19,0)</f>
        <v>170</v>
      </c>
      <c r="H83" s="17">
        <f>IFERROR('Cashflow Data'!H19,0)</f>
        <v>2</v>
      </c>
      <c r="I83" s="17">
        <f>IFERROR('Cashflow Data'!I19,0)</f>
        <v>318</v>
      </c>
      <c r="J83" s="17">
        <f>IFERROR('Cashflow Data'!J19,0)</f>
        <v>-407</v>
      </c>
      <c r="K83" s="17">
        <f>IFERROR('Cashflow Data'!K19,0)</f>
        <v>300</v>
      </c>
      <c r="L83" s="17">
        <f>IFERROR('Cashflow Data'!L19,0)</f>
        <v>174</v>
      </c>
      <c r="M83" s="17">
        <f>IFERROR('Cashflow Data'!K23,0)</f>
        <v>0</v>
      </c>
    </row>
    <row r="84" spans="2:13" x14ac:dyDescent="0.3">
      <c r="B84" s="23" t="s">
        <v>112</v>
      </c>
      <c r="C84" s="17">
        <f t="shared" ref="C84:M84" si="23">SUM(C77:C83)</f>
        <v>-67</v>
      </c>
      <c r="D84" s="17">
        <f t="shared" si="23"/>
        <v>-3610</v>
      </c>
      <c r="E84" s="17">
        <f t="shared" si="23"/>
        <v>-1955</v>
      </c>
      <c r="F84" s="17">
        <f t="shared" si="23"/>
        <v>-273</v>
      </c>
      <c r="G84" s="17">
        <f t="shared" si="23"/>
        <v>1766</v>
      </c>
      <c r="H84" s="17">
        <f t="shared" si="23"/>
        <v>-2870</v>
      </c>
      <c r="I84" s="17">
        <f t="shared" si="23"/>
        <v>277</v>
      </c>
      <c r="J84" s="17">
        <f t="shared" si="23"/>
        <v>1212</v>
      </c>
      <c r="K84" s="17">
        <f t="shared" si="23"/>
        <v>-72</v>
      </c>
      <c r="L84" s="17">
        <f t="shared" si="23"/>
        <v>-1055</v>
      </c>
      <c r="M84" s="17">
        <f t="shared" si="23"/>
        <v>351</v>
      </c>
    </row>
    <row r="85" spans="2:13" x14ac:dyDescent="0.3">
      <c r="B85" s="23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</row>
    <row r="86" spans="2:13" x14ac:dyDescent="0.3">
      <c r="B86" s="23" t="s">
        <v>104</v>
      </c>
    </row>
    <row r="87" spans="2:13" x14ac:dyDescent="0.3">
      <c r="B87" t="s">
        <v>105</v>
      </c>
      <c r="C87" s="17">
        <f>IFERROR('Cashflow Data'!C21,0)</f>
        <v>0</v>
      </c>
      <c r="D87" s="17">
        <f>IFERROR('Cashflow Data'!D21,0)</f>
        <v>0</v>
      </c>
      <c r="E87" s="17">
        <f>IFERROR('Cashflow Data'!E21,0)</f>
        <v>0</v>
      </c>
      <c r="F87" s="17">
        <f>IFERROR('Cashflow Data'!F21,0)</f>
        <v>0</v>
      </c>
      <c r="G87" s="17">
        <f>IFERROR('Cashflow Data'!G21,0)</f>
        <v>0</v>
      </c>
      <c r="H87" s="17">
        <f>IFERROR('Cashflow Data'!H21,0)</f>
        <v>0</v>
      </c>
      <c r="I87" s="17">
        <f>IFERROR('Cashflow Data'!I21,0)</f>
        <v>0</v>
      </c>
      <c r="J87" s="17">
        <f>IFERROR('Cashflow Data'!J21,0)</f>
        <v>0</v>
      </c>
      <c r="K87" s="17">
        <f>IFERROR('Cashflow Data'!K21,0)</f>
        <v>87</v>
      </c>
      <c r="L87" s="17">
        <f>IFERROR('Cashflow Data'!L21,0)</f>
        <v>29</v>
      </c>
      <c r="M87" s="17">
        <f>IFERROR('Cashflow Data'!K25,0)</f>
        <v>-3960</v>
      </c>
    </row>
    <row r="88" spans="2:13" x14ac:dyDescent="0.3">
      <c r="B88" t="s">
        <v>106</v>
      </c>
      <c r="C88" s="17">
        <f>IFERROR('Cashflow Data'!C22,0)</f>
        <v>50</v>
      </c>
      <c r="D88" s="17">
        <f>IFERROR('Cashflow Data'!D22,0)</f>
        <v>0</v>
      </c>
      <c r="E88" s="17">
        <f>IFERROR('Cashflow Data'!E22,0)</f>
        <v>0</v>
      </c>
      <c r="F88" s="17">
        <f>IFERROR('Cashflow Data'!F22,0)</f>
        <v>0</v>
      </c>
      <c r="G88" s="17">
        <f>IFERROR('Cashflow Data'!G22,0)</f>
        <v>0</v>
      </c>
      <c r="H88" s="17">
        <f>IFERROR('Cashflow Data'!H22,0)</f>
        <v>0</v>
      </c>
      <c r="I88" s="17">
        <f>IFERROR('Cashflow Data'!I22,0)</f>
        <v>0</v>
      </c>
      <c r="J88" s="17">
        <f>IFERROR('Cashflow Data'!J22,0)</f>
        <v>0</v>
      </c>
      <c r="K88" s="17">
        <f>IFERROR('Cashflow Data'!K22,0)</f>
        <v>1785</v>
      </c>
      <c r="L88" s="17">
        <f>IFERROR('Cashflow Data'!L22,0)</f>
        <v>8945</v>
      </c>
      <c r="M88" s="17">
        <f>IFERROR('Cashflow Data'!K27,0)</f>
        <v>319</v>
      </c>
    </row>
    <row r="89" spans="2:13" x14ac:dyDescent="0.3">
      <c r="B89" t="s">
        <v>107</v>
      </c>
      <c r="C89" s="17">
        <f>IFERROR('Cashflow Data'!C23,0)</f>
        <v>0</v>
      </c>
      <c r="D89" s="17">
        <f>IFERROR('Cashflow Data'!D23,0)</f>
        <v>0</v>
      </c>
      <c r="E89" s="17">
        <f>IFERROR('Cashflow Data'!E23,0)</f>
        <v>0</v>
      </c>
      <c r="F89" s="17">
        <f>IFERROR('Cashflow Data'!F23,0)</f>
        <v>0</v>
      </c>
      <c r="G89" s="17">
        <f>IFERROR('Cashflow Data'!G23,0)</f>
        <v>0</v>
      </c>
      <c r="H89" s="17">
        <f>IFERROR('Cashflow Data'!H23,0)</f>
        <v>0</v>
      </c>
      <c r="I89" s="17">
        <f>IFERROR('Cashflow Data'!I23,0)</f>
        <v>0</v>
      </c>
      <c r="J89" s="17">
        <f>IFERROR('Cashflow Data'!J23,0)</f>
        <v>0</v>
      </c>
      <c r="K89" s="17">
        <f>IFERROR('Cashflow Data'!K23,0)</f>
        <v>0</v>
      </c>
      <c r="L89" s="17">
        <f>IFERROR('Cashflow Data'!L23,0)</f>
        <v>-1511</v>
      </c>
      <c r="M89" s="17">
        <f>IFERROR('Cashflow Data'!K28,0)</f>
        <v>0</v>
      </c>
    </row>
    <row r="90" spans="2:13" x14ac:dyDescent="0.3">
      <c r="B90" t="s">
        <v>108</v>
      </c>
      <c r="C90" s="17">
        <f>IFERROR('Cashflow Data'!C24,0)</f>
        <v>0</v>
      </c>
      <c r="D90" s="17">
        <f>IFERROR('Cashflow Data'!D24,0)</f>
        <v>-1</v>
      </c>
      <c r="E90" s="17">
        <f>IFERROR('Cashflow Data'!E24,0)</f>
        <v>0</v>
      </c>
      <c r="F90" s="17">
        <f>IFERROR('Cashflow Data'!F24,0)</f>
        <v>-4</v>
      </c>
      <c r="G90" s="17">
        <f>IFERROR('Cashflow Data'!G24,0)</f>
        <v>-2</v>
      </c>
      <c r="H90" s="17">
        <f>IFERROR('Cashflow Data'!H24,0)</f>
        <v>-5</v>
      </c>
      <c r="I90" s="17">
        <f>IFERROR('Cashflow Data'!I24,0)</f>
        <v>-7</v>
      </c>
      <c r="J90" s="17">
        <f>IFERROR('Cashflow Data'!J24,0)</f>
        <v>-38</v>
      </c>
      <c r="K90" s="17">
        <f>IFERROR('Cashflow Data'!K24,0)</f>
        <v>-59</v>
      </c>
      <c r="L90" s="17">
        <f>IFERROR('Cashflow Data'!L24,0)</f>
        <v>-66</v>
      </c>
      <c r="M90" s="17">
        <f>IFERROR('Cashflow Data'!K29,0)</f>
        <v>0</v>
      </c>
    </row>
    <row r="91" spans="2:13" x14ac:dyDescent="0.3">
      <c r="B91" t="s">
        <v>109</v>
      </c>
      <c r="C91" s="17">
        <f>IFERROR('Cashflow Data'!C25,0)</f>
        <v>-2863</v>
      </c>
      <c r="D91" s="17">
        <f>IFERROR('Cashflow Data'!D25,0)</f>
        <v>-173</v>
      </c>
      <c r="E91" s="17">
        <f>IFERROR('Cashflow Data'!E25,0)</f>
        <v>-1588</v>
      </c>
      <c r="F91" s="17">
        <f>IFERROR('Cashflow Data'!F25,0)</f>
        <v>-1736</v>
      </c>
      <c r="G91" s="17">
        <f>IFERROR('Cashflow Data'!G25,0)</f>
        <v>-5195</v>
      </c>
      <c r="H91" s="17">
        <f>IFERROR('Cashflow Data'!H25,0)</f>
        <v>-14</v>
      </c>
      <c r="I91" s="17">
        <f>IFERROR('Cashflow Data'!I25,0)</f>
        <v>-4049</v>
      </c>
      <c r="J91" s="17">
        <f>IFERROR('Cashflow Data'!J25,0)</f>
        <v>-4047</v>
      </c>
      <c r="K91" s="17">
        <f>IFERROR('Cashflow Data'!K25,0)</f>
        <v>-3960</v>
      </c>
      <c r="L91" s="17">
        <f>IFERROR('Cashflow Data'!L25,0)</f>
        <v>-2235</v>
      </c>
      <c r="M91" s="17">
        <f>IFERROR('Cashflow Data'!K30,0)</f>
        <v>0</v>
      </c>
    </row>
    <row r="92" spans="2:13" x14ac:dyDescent="0.3">
      <c r="B92" t="s">
        <v>110</v>
      </c>
      <c r="C92" s="17">
        <f>IFERROR('Cashflow Data'!C26,0)</f>
        <v>-571</v>
      </c>
      <c r="D92" s="17">
        <f>IFERROR('Cashflow Data'!D26,0)</f>
        <v>-17</v>
      </c>
      <c r="E92" s="17">
        <f>IFERROR('Cashflow Data'!E26,0)</f>
        <v>-296</v>
      </c>
      <c r="F92" s="17">
        <f>IFERROR('Cashflow Data'!F26,0)</f>
        <v>-335</v>
      </c>
      <c r="G92" s="17">
        <f>IFERROR('Cashflow Data'!G26,0)</f>
        <v>-1049</v>
      </c>
      <c r="H92" s="17">
        <f>IFERROR('Cashflow Data'!H26,0)</f>
        <v>0</v>
      </c>
      <c r="I92" s="17">
        <f>IFERROR('Cashflow Data'!I26,0)</f>
        <v>0</v>
      </c>
      <c r="J92" s="17">
        <f>IFERROR('Cashflow Data'!J26,0)</f>
        <v>-3096</v>
      </c>
      <c r="K92" s="17">
        <f>IFERROR('Cashflow Data'!K26,0)</f>
        <v>-4019</v>
      </c>
      <c r="L92" s="17">
        <f>IFERROR('Cashflow Data'!L26,0)</f>
        <v>-932</v>
      </c>
      <c r="M92" s="17">
        <f>IFERROR('Cashflow Data'!K32,0)</f>
        <v>0</v>
      </c>
    </row>
    <row r="93" spans="2:13" x14ac:dyDescent="0.3">
      <c r="B93" s="23" t="s">
        <v>113</v>
      </c>
      <c r="C93" s="17">
        <f t="shared" ref="C93:M93" si="24">SUM(C87:C92)</f>
        <v>-3384</v>
      </c>
      <c r="D93" s="17">
        <f t="shared" si="24"/>
        <v>-191</v>
      </c>
      <c r="E93" s="17">
        <f t="shared" si="24"/>
        <v>-1884</v>
      </c>
      <c r="F93" s="17">
        <f t="shared" si="24"/>
        <v>-2075</v>
      </c>
      <c r="G93" s="17">
        <f t="shared" si="24"/>
        <v>-6246</v>
      </c>
      <c r="H93" s="17">
        <f t="shared" si="24"/>
        <v>-19</v>
      </c>
      <c r="I93" s="17">
        <f t="shared" si="24"/>
        <v>-4056</v>
      </c>
      <c r="J93" s="17">
        <f t="shared" si="24"/>
        <v>-7181</v>
      </c>
      <c r="K93" s="17">
        <f t="shared" si="24"/>
        <v>-6166</v>
      </c>
      <c r="L93" s="17">
        <f t="shared" si="24"/>
        <v>4230</v>
      </c>
      <c r="M93" s="17">
        <f t="shared" si="24"/>
        <v>-3641</v>
      </c>
    </row>
    <row r="95" spans="2:13" x14ac:dyDescent="0.3">
      <c r="B95" s="23" t="s">
        <v>20</v>
      </c>
      <c r="C95">
        <f t="shared" ref="C95:M95" si="25">IFERROR(SUM(C93+C84+C74),0)</f>
        <v>239</v>
      </c>
      <c r="D95">
        <f t="shared" si="25"/>
        <v>-534</v>
      </c>
      <c r="E95">
        <f t="shared" si="25"/>
        <v>489</v>
      </c>
      <c r="F95">
        <f t="shared" si="25"/>
        <v>139</v>
      </c>
      <c r="G95">
        <f t="shared" si="25"/>
        <v>-629</v>
      </c>
      <c r="H95">
        <f t="shared" si="25"/>
        <v>231</v>
      </c>
      <c r="I95">
        <f t="shared" si="25"/>
        <v>418</v>
      </c>
      <c r="J95">
        <f t="shared" si="25"/>
        <v>-691</v>
      </c>
      <c r="K95">
        <f t="shared" si="25"/>
        <v>320</v>
      </c>
      <c r="L95">
        <f t="shared" si="25"/>
        <v>1769</v>
      </c>
      <c r="M95">
        <f t="shared" si="25"/>
        <v>-3040</v>
      </c>
    </row>
  </sheetData>
  <mergeCells count="1">
    <mergeCell ref="B2:M2"/>
  </mergeCells>
  <pageMargins left="0.7" right="0.7" top="0.75" bottom="0.75" header="0.3" footer="0.3"/>
  <ignoredErrors>
    <ignoredError sqref="M5 M8 C14:M14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C5CE9-B0E0-4679-90CF-9B580C3FA80A}">
  <sheetPr>
    <tabColor rgb="FF002060"/>
  </sheetPr>
  <dimension ref="B2:N38"/>
  <sheetViews>
    <sheetView showGridLines="0" tabSelected="1" topLeftCell="A17" workbookViewId="0">
      <selection activeCell="C32" sqref="C32"/>
    </sheetView>
  </sheetViews>
  <sheetFormatPr defaultRowHeight="14.4" x14ac:dyDescent="0.3"/>
  <cols>
    <col min="1" max="1" width="1.88671875" customWidth="1"/>
    <col min="2" max="2" width="21" bestFit="1" customWidth="1"/>
    <col min="3" max="12" width="12" bestFit="1" customWidth="1"/>
  </cols>
  <sheetData>
    <row r="2" spans="2:12" x14ac:dyDescent="0.3">
      <c r="B2" s="32" t="str">
        <f>"Common Size Income Statement"&amp;" - "&amp;" "&amp;'Data Sheet'!$B$1</f>
        <v>Common Size Income Statement -  BAJAJ AUTO LTD</v>
      </c>
      <c r="C2" s="32"/>
      <c r="D2" s="32"/>
      <c r="E2" s="32"/>
      <c r="F2" s="32"/>
      <c r="G2" s="32"/>
      <c r="H2" s="32"/>
      <c r="I2" s="32"/>
      <c r="J2" s="32"/>
      <c r="K2" s="32"/>
      <c r="L2" s="32"/>
    </row>
    <row r="4" spans="2:12" x14ac:dyDescent="0.3">
      <c r="B4" s="25" t="s">
        <v>115</v>
      </c>
      <c r="C4" s="26">
        <f>'Data Sheet'!B16</f>
        <v>42460</v>
      </c>
      <c r="D4" s="26">
        <f>'Data Sheet'!C16</f>
        <v>42825</v>
      </c>
      <c r="E4" s="26">
        <f>'Data Sheet'!D16</f>
        <v>43190</v>
      </c>
      <c r="F4" s="26">
        <f>'Data Sheet'!E16</f>
        <v>43555</v>
      </c>
      <c r="G4" s="26">
        <f>'Data Sheet'!F16</f>
        <v>43921</v>
      </c>
      <c r="H4" s="26">
        <f>'Data Sheet'!G16</f>
        <v>44286</v>
      </c>
      <c r="I4" s="26">
        <f>'Data Sheet'!H16</f>
        <v>44651</v>
      </c>
      <c r="J4" s="26">
        <f>'Data Sheet'!I16</f>
        <v>45016</v>
      </c>
      <c r="K4" s="26">
        <f>'Data Sheet'!J16</f>
        <v>45382</v>
      </c>
      <c r="L4" s="26">
        <f>'Data Sheet'!K16</f>
        <v>45747</v>
      </c>
    </row>
    <row r="6" spans="2:12" x14ac:dyDescent="0.3">
      <c r="B6" s="23" t="str">
        <f>'Data Sheet'!A17</f>
        <v>Sales</v>
      </c>
      <c r="C6" s="27">
        <f>'Data Sheet'!B17/'Data Sheet'!B$17</f>
        <v>1</v>
      </c>
      <c r="D6" s="27">
        <f>'Data Sheet'!C17/'Data Sheet'!C$17</f>
        <v>1</v>
      </c>
      <c r="E6" s="27">
        <f>'Data Sheet'!D17/'Data Sheet'!D$17</f>
        <v>1</v>
      </c>
      <c r="F6" s="27">
        <f>'Data Sheet'!E17/'Data Sheet'!E$17</f>
        <v>1</v>
      </c>
      <c r="G6" s="27">
        <f>'Data Sheet'!F17/'Data Sheet'!F$17</f>
        <v>1</v>
      </c>
      <c r="H6" s="27">
        <f>'Data Sheet'!G17/'Data Sheet'!G$17</f>
        <v>1</v>
      </c>
      <c r="I6" s="27">
        <f>'Data Sheet'!H17/'Data Sheet'!H$17</f>
        <v>1</v>
      </c>
      <c r="J6" s="27">
        <f>'Data Sheet'!I17/'Data Sheet'!I$17</f>
        <v>1</v>
      </c>
      <c r="K6" s="27">
        <f>'Data Sheet'!J17/'Data Sheet'!J$17</f>
        <v>1</v>
      </c>
      <c r="L6" s="27">
        <f>'Data Sheet'!K17/'Data Sheet'!K$17</f>
        <v>1</v>
      </c>
    </row>
    <row r="7" spans="2:12" x14ac:dyDescent="0.3">
      <c r="B7" t="str">
        <f>'Data Sheet'!A18</f>
        <v>Raw Material Cost</v>
      </c>
      <c r="C7" s="28">
        <f>'Data Sheet'!B18/'Data Sheet'!B$17</f>
        <v>0.66419845404096545</v>
      </c>
      <c r="D7" s="28">
        <f>'Data Sheet'!C18/'Data Sheet'!C$17</f>
        <v>0.67423667139820687</v>
      </c>
      <c r="E7" s="28">
        <f>'Data Sheet'!D18/'Data Sheet'!D$17</f>
        <v>0.6902204805804697</v>
      </c>
      <c r="F7" s="28">
        <f>'Data Sheet'!E18/'Data Sheet'!E$17</f>
        <v>0.719888212617388</v>
      </c>
      <c r="G7" s="28">
        <f>'Data Sheet'!F18/'Data Sheet'!F$17</f>
        <v>0.70428612253560907</v>
      </c>
      <c r="H7" s="28">
        <f>'Data Sheet'!G18/'Data Sheet'!G$17</f>
        <v>0.71479300733785422</v>
      </c>
      <c r="I7" s="28">
        <f>'Data Sheet'!H18/'Data Sheet'!H$17</f>
        <v>0.72837746958715288</v>
      </c>
      <c r="J7" s="28">
        <f>'Data Sheet'!I18/'Data Sheet'!I$17</f>
        <v>0.71927874568856509</v>
      </c>
      <c r="K7" s="28">
        <f>'Data Sheet'!J18/'Data Sheet'!J$17</f>
        <v>0.7124863746569845</v>
      </c>
      <c r="L7" s="28">
        <f>'Data Sheet'!K18/'Data Sheet'!K$17</f>
        <v>0.69087343647507427</v>
      </c>
    </row>
    <row r="8" spans="2:12" x14ac:dyDescent="0.3">
      <c r="B8" t="str">
        <f>'Data Sheet'!A19</f>
        <v>Change in Inventory</v>
      </c>
      <c r="C8" s="28">
        <f>'Data Sheet'!B19/'Data Sheet'!B$17</f>
        <v>-2.8107943362383381E-3</v>
      </c>
      <c r="D8" s="28">
        <f>'Data Sheet'!C19/'Data Sheet'!C$17</f>
        <v>2.0078401376804663E-3</v>
      </c>
      <c r="E8" s="28">
        <f>'Data Sheet'!D19/'Data Sheet'!D$17</f>
        <v>-3.8397567942473462E-4</v>
      </c>
      <c r="F8" s="28">
        <f>'Data Sheet'!E19/'Data Sheet'!E$17</f>
        <v>1.8585113528295852E-3</v>
      </c>
      <c r="G8" s="28">
        <f>'Data Sheet'!F19/'Data Sheet'!F$17</f>
        <v>2.1060442232520515E-3</v>
      </c>
      <c r="H8" s="28">
        <f>'Data Sheet'!G19/'Data Sheet'!G$17</f>
        <v>7.9117323478393765E-3</v>
      </c>
      <c r="I8" s="28">
        <f>'Data Sheet'!H19/'Data Sheet'!H$17</f>
        <v>-5.6708898644761115E-3</v>
      </c>
      <c r="J8" s="28">
        <f>'Data Sheet'!I19/'Data Sheet'!I$17</f>
        <v>2.7521315098073319E-3</v>
      </c>
      <c r="K8" s="28">
        <f>'Data Sheet'!J19/'Data Sheet'!J$17</f>
        <v>1.7013431785699402E-3</v>
      </c>
      <c r="L8" s="28">
        <f>'Data Sheet'!K19/'Data Sheet'!K$17</f>
        <v>-5.5711835872656972E-4</v>
      </c>
    </row>
    <row r="9" spans="2:12" x14ac:dyDescent="0.3">
      <c r="B9" t="str">
        <f>'Data Sheet'!A20</f>
        <v>Power and Fuel</v>
      </c>
      <c r="C9" s="28">
        <f>'Data Sheet'!B20/'Data Sheet'!B$17</f>
        <v>5.3451606715605648E-3</v>
      </c>
      <c r="D9" s="28">
        <f>'Data Sheet'!C20/'Data Sheet'!C$17</f>
        <v>4.4339803040443632E-3</v>
      </c>
      <c r="E9" s="28">
        <f>'Data Sheet'!D20/'Data Sheet'!D$17</f>
        <v>3.9770042994962699E-3</v>
      </c>
      <c r="F9" s="28">
        <f>'Data Sheet'!E20/'Data Sheet'!E$17</f>
        <v>3.7885039115372315E-3</v>
      </c>
      <c r="G9" s="28">
        <f>'Data Sheet'!F20/'Data Sheet'!F$17</f>
        <v>3.8962319489682855E-3</v>
      </c>
      <c r="H9" s="28">
        <f>'Data Sheet'!G20/'Data Sheet'!G$17</f>
        <v>3.292589906377113E-3</v>
      </c>
      <c r="I9" s="28">
        <f>'Data Sheet'!H20/'Data Sheet'!H$17</f>
        <v>3.2587402333585061E-3</v>
      </c>
      <c r="J9" s="28">
        <f>'Data Sheet'!I20/'Data Sheet'!I$17</f>
        <v>3.3630152805978158E-3</v>
      </c>
      <c r="K9" s="28">
        <f>'Data Sheet'!J20/'Data Sheet'!J$17</f>
        <v>3.2970488582346994E-3</v>
      </c>
      <c r="L9" s="28">
        <f>'Data Sheet'!K20/'Data Sheet'!K$17</f>
        <v>3.4697825551946236E-3</v>
      </c>
    </row>
    <row r="10" spans="2:12" x14ac:dyDescent="0.3">
      <c r="B10" t="str">
        <f>'Data Sheet'!A21</f>
        <v>Other Mfr. Exp</v>
      </c>
      <c r="C10" s="28">
        <f>'Data Sheet'!B21/'Data Sheet'!B$17</f>
        <v>2.8537204152267532E-2</v>
      </c>
      <c r="D10" s="28">
        <f>'Data Sheet'!C21/'Data Sheet'!C$17</f>
        <v>2.5168790956629179E-2</v>
      </c>
      <c r="E10" s="28">
        <f>'Data Sheet'!D21/'Data Sheet'!D$17</f>
        <v>2.1823146672759502E-2</v>
      </c>
      <c r="F10" s="28">
        <f>'Data Sheet'!E21/'Data Sheet'!E$17</f>
        <v>2.0884041343148328E-2</v>
      </c>
      <c r="G10" s="28">
        <f>'Data Sheet'!F21/'Data Sheet'!F$17</f>
        <v>2.3357671552693721E-2</v>
      </c>
      <c r="H10" s="28">
        <f>'Data Sheet'!G21/'Data Sheet'!G$17</f>
        <v>2.1524396310453664E-2</v>
      </c>
      <c r="I10" s="28">
        <f>'Data Sheet'!H21/'Data Sheet'!H$17</f>
        <v>2.5231175653671431E-2</v>
      </c>
      <c r="J10" s="28">
        <f>'Data Sheet'!I21/'Data Sheet'!I$17</f>
        <v>2.0396166491749641E-2</v>
      </c>
      <c r="K10" s="28">
        <f>'Data Sheet'!J21/'Data Sheet'!J$17</f>
        <v>1.6367795004416048E-2</v>
      </c>
      <c r="L10" s="28">
        <f>'Data Sheet'!K21/'Data Sheet'!K$17</f>
        <v>1.599210111668796E-2</v>
      </c>
    </row>
    <row r="11" spans="2:12" x14ac:dyDescent="0.3">
      <c r="B11" t="str">
        <f>'Data Sheet'!A22</f>
        <v>Employee Cost</v>
      </c>
      <c r="C11" s="28">
        <f>'Data Sheet'!B22/'Data Sheet'!B$17</f>
        <v>4.0755853385069082E-2</v>
      </c>
      <c r="D11" s="28">
        <f>'Data Sheet'!C22/'Data Sheet'!C$17</f>
        <v>4.595922172291806E-2</v>
      </c>
      <c r="E11" s="28">
        <f>'Data Sheet'!D22/'Data Sheet'!D$17</f>
        <v>4.2546329958076043E-2</v>
      </c>
      <c r="F11" s="28">
        <f>'Data Sheet'!E22/'Data Sheet'!E$17</f>
        <v>4.1515757323611888E-2</v>
      </c>
      <c r="G11" s="28">
        <f>'Data Sheet'!F22/'Data Sheet'!F$17</f>
        <v>4.6626435350525505E-2</v>
      </c>
      <c r="H11" s="28">
        <f>'Data Sheet'!G22/'Data Sheet'!G$17</f>
        <v>4.6720243047494898E-2</v>
      </c>
      <c r="I11" s="28">
        <f>'Data Sheet'!H22/'Data Sheet'!H$17</f>
        <v>4.1213213209589102E-2</v>
      </c>
      <c r="J11" s="28">
        <f>'Data Sheet'!I22/'Data Sheet'!I$17</f>
        <v>4.0819763776978872E-2</v>
      </c>
      <c r="K11" s="28">
        <f>'Data Sheet'!J22/'Data Sheet'!J$17</f>
        <v>3.6350442819469302E-2</v>
      </c>
      <c r="L11" s="28">
        <f>'Data Sheet'!K22/'Data Sheet'!K$17</f>
        <v>3.7854633485343042E-2</v>
      </c>
    </row>
    <row r="12" spans="2:12" x14ac:dyDescent="0.3">
      <c r="B12" t="str">
        <f>'Data Sheet'!A23</f>
        <v>Selling and admin</v>
      </c>
      <c r="C12" s="28">
        <f>'Data Sheet'!B23/'Data Sheet'!B$17</f>
        <v>3.5247228078351393E-2</v>
      </c>
      <c r="D12" s="28">
        <f>'Data Sheet'!C23/'Data Sheet'!C$17</f>
        <v>3.2164514183588663E-2</v>
      </c>
      <c r="E12" s="28">
        <f>'Data Sheet'!D23/'Data Sheet'!D$17</f>
        <v>3.38287333602275E-2</v>
      </c>
      <c r="F12" s="28">
        <f>'Data Sheet'!E23/'Data Sheet'!E$17</f>
        <v>3.0994514393910193E-2</v>
      </c>
      <c r="G12" s="28">
        <f>'Data Sheet'!F23/'Data Sheet'!F$17</f>
        <v>3.4125202841705761E-2</v>
      </c>
      <c r="H12" s="28">
        <f>'Data Sheet'!G23/'Data Sheet'!G$17</f>
        <v>2.3606146552333219E-2</v>
      </c>
      <c r="I12" s="28">
        <f>'Data Sheet'!H23/'Data Sheet'!H$17</f>
        <v>1.945710190253588E-2</v>
      </c>
      <c r="J12" s="28">
        <f>'Data Sheet'!I23/'Data Sheet'!I$17</f>
        <v>2.33877688286338E-2</v>
      </c>
      <c r="K12" s="28">
        <f>'Data Sheet'!J23/'Data Sheet'!J$17</f>
        <v>2.227235174701914E-2</v>
      </c>
      <c r="L12" s="28">
        <f>'Data Sheet'!K23/'Data Sheet'!K$17</f>
        <v>2.4304165837329677E-2</v>
      </c>
    </row>
    <row r="13" spans="2:12" x14ac:dyDescent="0.3">
      <c r="B13" t="str">
        <f>'Data Sheet'!A24</f>
        <v>Other Expenses</v>
      </c>
      <c r="C13" s="28">
        <f>'Data Sheet'!B24/'Data Sheet'!B$17</f>
        <v>1.0780692035728321E-2</v>
      </c>
      <c r="D13" s="28">
        <f>'Data Sheet'!C24/'Data Sheet'!C$17</f>
        <v>1.6473666404348112E-2</v>
      </c>
      <c r="E13" s="28">
        <f>'Data Sheet'!D24/'Data Sheet'!D$17</f>
        <v>1.5002421664796371E-2</v>
      </c>
      <c r="F13" s="28">
        <f>'Data Sheet'!E24/'Data Sheet'!E$17</f>
        <v>1.3564629386417846E-2</v>
      </c>
      <c r="G13" s="28">
        <f>'Data Sheet'!F24/'Data Sheet'!F$17</f>
        <v>1.9039963367331079E-2</v>
      </c>
      <c r="H13" s="28">
        <f>'Data Sheet'!G24/'Data Sheet'!G$17</f>
        <v>1.9980116131023015E-2</v>
      </c>
      <c r="I13" s="28">
        <f>'Data Sheet'!H24/'Data Sheet'!H$17</f>
        <v>1.8129589910426128E-2</v>
      </c>
      <c r="J13" s="28">
        <f>'Data Sheet'!I24/'Data Sheet'!I$17</f>
        <v>1.8176466683381166E-2</v>
      </c>
      <c r="K13" s="28">
        <f>'Data Sheet'!J24/'Data Sheet'!J$17</f>
        <v>1.5594234332053427E-2</v>
      </c>
      <c r="L13" s="28">
        <f>'Data Sheet'!K24/'Data Sheet'!K$17</f>
        <v>3.958364178132761E-2</v>
      </c>
    </row>
    <row r="14" spans="2:12" x14ac:dyDescent="0.3">
      <c r="B14" t="str">
        <f>'Data Sheet'!A25</f>
        <v>Other Income</v>
      </c>
      <c r="C14" s="28">
        <f>'Data Sheet'!B25/'Data Sheet'!B$17</f>
        <v>5.2900079694547068E-2</v>
      </c>
      <c r="D14" s="28">
        <f>'Data Sheet'!C25/'Data Sheet'!C$17</f>
        <v>6.7461681878691143E-2</v>
      </c>
      <c r="E14" s="28">
        <f>'Data Sheet'!D25/'Data Sheet'!D$17</f>
        <v>5.5681233545670297E-2</v>
      </c>
      <c r="F14" s="28">
        <f>'Data Sheet'!E25/'Data Sheet'!E$17</f>
        <v>6.6798033970372511E-2</v>
      </c>
      <c r="G14" s="28">
        <f>'Data Sheet'!F25/'Data Sheet'!F$17</f>
        <v>6.124541047139493E-2</v>
      </c>
      <c r="H14" s="28">
        <f>'Data Sheet'!G25/'Data Sheet'!G$17</f>
        <v>5.6583233241099477E-2</v>
      </c>
      <c r="I14" s="28">
        <f>'Data Sheet'!H25/'Data Sheet'!H$17</f>
        <v>8.0595063284608623E-2</v>
      </c>
      <c r="J14" s="28">
        <f>'Data Sheet'!I25/'Data Sheet'!I$17</f>
        <v>4.6706412057699036E-2</v>
      </c>
      <c r="K14" s="28">
        <f>'Data Sheet'!J25/'Data Sheet'!J$17</f>
        <v>3.7897787028116289E-2</v>
      </c>
      <c r="L14" s="28">
        <f>'Data Sheet'!K25/'Data Sheet'!K$17</f>
        <v>2.886700637617157E-2</v>
      </c>
    </row>
    <row r="15" spans="2:12" x14ac:dyDescent="0.3">
      <c r="B15" t="str">
        <f>'Data Sheet'!A26</f>
        <v>Depreciation</v>
      </c>
      <c r="C15" s="28">
        <f>'Data Sheet'!B26/'Data Sheet'!B$17</f>
        <v>1.360699114765907E-2</v>
      </c>
      <c r="D15" s="28">
        <f>'Data Sheet'!C26/'Data Sheet'!C$17</f>
        <v>1.4125210529025425E-2</v>
      </c>
      <c r="E15" s="28">
        <f>'Data Sheet'!D26/'Data Sheet'!D$17</f>
        <v>1.2487142963110171E-2</v>
      </c>
      <c r="F15" s="28">
        <f>'Data Sheet'!E26/'Data Sheet'!E$17</f>
        <v>8.7520007326000078E-3</v>
      </c>
      <c r="G15" s="28">
        <f>'Data Sheet'!F26/'Data Sheet'!F$17</f>
        <v>8.2366684325663082E-3</v>
      </c>
      <c r="H15" s="28">
        <f>'Data Sheet'!G26/'Data Sheet'!G$17</f>
        <v>9.3496720387237983E-3</v>
      </c>
      <c r="I15" s="28">
        <f>'Data Sheet'!H26/'Data Sheet'!H$17</f>
        <v>8.1388553407165127E-3</v>
      </c>
      <c r="J15" s="28">
        <f>'Data Sheet'!I26/'Data Sheet'!I$17</f>
        <v>7.8410923161409928E-3</v>
      </c>
      <c r="K15" s="28">
        <f>'Data Sheet'!J26/'Data Sheet'!J$17</f>
        <v>8.1294072733423765E-3</v>
      </c>
      <c r="L15" s="28">
        <f>'Data Sheet'!K26/'Data Sheet'!K$17</f>
        <v>8.1230249114856382E-3</v>
      </c>
    </row>
    <row r="16" spans="2:12" x14ac:dyDescent="0.3">
      <c r="B16" t="str">
        <f>'Data Sheet'!A27</f>
        <v>Interest</v>
      </c>
      <c r="C16" s="28">
        <f>'Data Sheet'!B27/'Data Sheet'!B$17</f>
        <v>4.6514327077230177E-5</v>
      </c>
      <c r="D16" s="28">
        <f>'Data Sheet'!C27/'Data Sheet'!C$17</f>
        <v>6.435385056668162E-5</v>
      </c>
      <c r="E16" s="28">
        <f>'Data Sheet'!D27/'Data Sheet'!D$17</f>
        <v>5.1963650831239911E-5</v>
      </c>
      <c r="F16" s="28">
        <f>'Data Sheet'!E27/'Data Sheet'!E$17</f>
        <v>1.4757410245793234E-4</v>
      </c>
      <c r="G16" s="28">
        <f>'Data Sheet'!F27/'Data Sheet'!F$17</f>
        <v>1.0561973885853807E-4</v>
      </c>
      <c r="H16" s="28">
        <f>'Data Sheet'!G27/'Data Sheet'!G$17</f>
        <v>2.4007717075182365E-4</v>
      </c>
      <c r="I16" s="28">
        <f>'Data Sheet'!H27/'Data Sheet'!H$17</f>
        <v>2.6127849662887381E-4</v>
      </c>
      <c r="J16" s="28">
        <f>'Data Sheet'!I27/'Data Sheet'!I$17</f>
        <v>1.0837906503786273E-3</v>
      </c>
      <c r="K16" s="28">
        <f>'Data Sheet'!J27/'Data Sheet'!J$17</f>
        <v>1.3452066316280008E-3</v>
      </c>
      <c r="L16" s="28">
        <f>'Data Sheet'!K27/'Data Sheet'!K$17</f>
        <v>7.6263051639832088E-3</v>
      </c>
    </row>
    <row r="17" spans="2:14" x14ac:dyDescent="0.3">
      <c r="B17" t="str">
        <f>'Data Sheet'!A28</f>
        <v>Profit before tax</v>
      </c>
      <c r="C17" s="28">
        <f>'Data Sheet'!B28/'Data Sheet'!B$17</f>
        <v>0.2515711875196302</v>
      </c>
      <c r="D17" s="28">
        <f>'Data Sheet'!C28/'Data Sheet'!C$17</f>
        <v>0.25684311266704418</v>
      </c>
      <c r="E17" s="28">
        <f>'Data Sheet'!D28/'Data Sheet'!D$17</f>
        <v>0.23536003471647879</v>
      </c>
      <c r="F17" s="28">
        <f>'Data Sheet'!E28/'Data Sheet'!E$17</f>
        <v>0.22912131151213055</v>
      </c>
      <c r="G17" s="28">
        <f>'Data Sheet'!F28/'Data Sheet'!F$17</f>
        <v>0.22367753892638872</v>
      </c>
      <c r="H17" s="28">
        <f>'Data Sheet'!G28/'Data Sheet'!G$17</f>
        <v>0.22498871709392712</v>
      </c>
      <c r="I17" s="28">
        <f>'Data Sheet'!H28/'Data Sheet'!H$17</f>
        <v>0.23085674908605328</v>
      </c>
      <c r="J17" s="28">
        <f>'Data Sheet'!I28/'Data Sheet'!I$17</f>
        <v>0.21511173385108043</v>
      </c>
      <c r="K17" s="28">
        <f>'Data Sheet'!J28/'Data Sheet'!J$17</f>
        <v>0.22375626888353869</v>
      </c>
      <c r="L17" s="28">
        <f>'Data Sheet'!K28/'Data Sheet'!K$17</f>
        <v>0.20048279669101896</v>
      </c>
    </row>
    <row r="18" spans="2:14" x14ac:dyDescent="0.3">
      <c r="B18" t="str">
        <f>'Data Sheet'!A29</f>
        <v>Tax</v>
      </c>
      <c r="C18" s="28">
        <f>'Data Sheet'!B29/'Data Sheet'!B$17</f>
        <v>7.1660858282363238E-2</v>
      </c>
      <c r="D18" s="28">
        <f>'Data Sheet'!C29/'Data Sheet'!C$17</f>
        <v>6.932150816006824E-2</v>
      </c>
      <c r="E18" s="28">
        <f>'Data Sheet'!D29/'Data Sheet'!D$17</f>
        <v>6.8007725527202967E-2</v>
      </c>
      <c r="F18" s="28">
        <f>'Data Sheet'!E29/'Data Sheet'!E$17</f>
        <v>6.6802975067553033E-2</v>
      </c>
      <c r="G18" s="28">
        <f>'Data Sheet'!F29/'Data Sheet'!F$17</f>
        <v>4.9474825902906715E-2</v>
      </c>
      <c r="H18" s="28">
        <f>'Data Sheet'!G29/'Data Sheet'!G$17</f>
        <v>4.990469008416399E-2</v>
      </c>
      <c r="I18" s="28">
        <f>'Data Sheet'!H29/'Data Sheet'!H$17</f>
        <v>4.4827968022649767E-2</v>
      </c>
      <c r="J18" s="28">
        <f>'Data Sheet'!I29/'Data Sheet'!I$17</f>
        <v>4.8875364898130262E-2</v>
      </c>
      <c r="K18" s="28">
        <f>'Data Sheet'!J29/'Data Sheet'!J$17</f>
        <v>5.1967409271540303E-2</v>
      </c>
      <c r="L18" s="28">
        <f>'Data Sheet'!K29/'Data Sheet'!K$17</f>
        <v>5.6845290330045074E-2</v>
      </c>
    </row>
    <row r="19" spans="2:14" x14ac:dyDescent="0.3">
      <c r="B19" t="str">
        <f>'Data Sheet'!A30</f>
        <v>Net profit</v>
      </c>
      <c r="C19" s="28">
        <f>'Data Sheet'!B30/'Data Sheet'!B$17</f>
        <v>0.17991032923726694</v>
      </c>
      <c r="D19" s="28">
        <f>'Data Sheet'!C30/'Data Sheet'!C$17</f>
        <v>0.18752206417733713</v>
      </c>
      <c r="E19" s="28">
        <f>'Data Sheet'!D30/'Data Sheet'!D$17</f>
        <v>0.16735270585836612</v>
      </c>
      <c r="F19" s="28">
        <f>'Data Sheet'!E30/'Data Sheet'!E$17</f>
        <v>0.1623186658510562</v>
      </c>
      <c r="G19" s="28">
        <f>'Data Sheet'!F30/'Data Sheet'!F$17</f>
        <v>0.174202713023482</v>
      </c>
      <c r="H19" s="28">
        <f>'Data Sheet'!G30/'Data Sheet'!G$17</f>
        <v>0.17508402700976314</v>
      </c>
      <c r="I19" s="28">
        <f>'Data Sheet'!H30/'Data Sheet'!H$17</f>
        <v>0.18602878106340348</v>
      </c>
      <c r="J19" s="28">
        <f>'Data Sheet'!I30/'Data Sheet'!I$17</f>
        <v>0.16623636895295016</v>
      </c>
      <c r="K19" s="28">
        <f>'Data Sheet'!J30/'Data Sheet'!J$17</f>
        <v>0.17178885961199836</v>
      </c>
      <c r="L19" s="28">
        <f>'Data Sheet'!K30/'Data Sheet'!K$17</f>
        <v>0.14363750636097386</v>
      </c>
    </row>
    <row r="20" spans="2:14" x14ac:dyDescent="0.3">
      <c r="B20" t="str">
        <f>'Data Sheet'!A31</f>
        <v>Dividend Amount</v>
      </c>
      <c r="C20" s="28">
        <f>'Data Sheet'!B31/'Data Sheet'!B$17</f>
        <v>7.0504202015709436E-2</v>
      </c>
      <c r="D20" s="28">
        <f>'Data Sheet'!C31/'Data Sheet'!C$17</f>
        <v>7.3158376664926042E-2</v>
      </c>
      <c r="E20" s="28">
        <f>'Data Sheet'!D31/'Data Sheet'!D$17</f>
        <v>6.8870480798637682E-2</v>
      </c>
      <c r="F20" s="28">
        <f>'Data Sheet'!E31/'Data Sheet'!E$17</f>
        <v>5.7192211644980187E-2</v>
      </c>
      <c r="G20" s="28">
        <f>'Data Sheet'!F31/'Data Sheet'!F$17</f>
        <v>0.11606272341833605</v>
      </c>
      <c r="H20" s="28">
        <f>'Data Sheet'!G31/'Data Sheet'!G$17</f>
        <v>0.14603541030125719</v>
      </c>
      <c r="I20" s="28">
        <f>'Data Sheet'!H31/'Data Sheet'!H$17</f>
        <v>0.12222704618625416</v>
      </c>
      <c r="J20" s="28">
        <f>'Data Sheet'!I31/'Data Sheet'!I$17</f>
        <v>0.10866544252178965</v>
      </c>
      <c r="K20" s="28">
        <f>'Data Sheet'!J31/'Data Sheet'!J$17</f>
        <v>4.9775319737296923E-2</v>
      </c>
      <c r="L20" s="28">
        <f>'Data Sheet'!K31/'Data Sheet'!K$17</f>
        <v>0.11500170116218301</v>
      </c>
      <c r="N20" s="12"/>
    </row>
    <row r="21" spans="2:14" x14ac:dyDescent="0.3">
      <c r="B21" t="str">
        <f>'Data Sheet'!A33</f>
        <v>EBITDA</v>
      </c>
      <c r="C21" s="28">
        <f>'Data Sheet'!B33/'Data Sheet'!B$17</f>
        <v>0.26522469299436646</v>
      </c>
      <c r="D21" s="28">
        <f>'Data Sheet'!C33/'Data Sheet'!C$17</f>
        <v>0.27103313671699747</v>
      </c>
      <c r="E21" s="28">
        <f>'Data Sheet'!D33/'Data Sheet'!D$17</f>
        <v>0.24789953799951053</v>
      </c>
      <c r="F21" s="28">
        <f>'Data Sheet'!E33/'Data Sheet'!E$17</f>
        <v>0.23802121575366716</v>
      </c>
      <c r="G21" s="28">
        <f>'Data Sheet'!F33/'Data Sheet'!F$17</f>
        <v>0.23201982709781357</v>
      </c>
      <c r="H21" s="28">
        <f>'Data Sheet'!G33/'Data Sheet'!G$17</f>
        <v>0.23457846630340273</v>
      </c>
      <c r="I21" s="28">
        <f>'Data Sheet'!H33/'Data Sheet'!H$17</f>
        <v>0.23925688292339864</v>
      </c>
      <c r="J21" s="28">
        <f>'Data Sheet'!I33/'Data Sheet'!I$17</f>
        <v>0.22403661681760006</v>
      </c>
      <c r="K21" s="28">
        <f>'Data Sheet'!J33/'Data Sheet'!J$17</f>
        <v>0.23323088278850909</v>
      </c>
      <c r="L21" s="28">
        <f>'Data Sheet'!K33/'Data Sheet'!K$17</f>
        <v>0.21623212676648773</v>
      </c>
    </row>
    <row r="23" spans="2:14" x14ac:dyDescent="0.3">
      <c r="B23" s="32" t="str">
        <f>"Common Size Balance Sheet"&amp;" - "&amp;" "&amp;'Data Sheet'!$B$1</f>
        <v>Common Size Balance Sheet -  BAJAJ AUTO LTD</v>
      </c>
      <c r="C23" s="32"/>
      <c r="D23" s="32"/>
      <c r="E23" s="32"/>
      <c r="F23" s="32"/>
      <c r="G23" s="32"/>
      <c r="H23" s="32"/>
      <c r="I23" s="32"/>
      <c r="J23" s="32"/>
      <c r="K23" s="32"/>
      <c r="L23" s="32"/>
    </row>
    <row r="25" spans="2:14" x14ac:dyDescent="0.3">
      <c r="B25" s="25" t="s">
        <v>115</v>
      </c>
      <c r="C25" s="26">
        <f>'Data Sheet'!B56</f>
        <v>42460</v>
      </c>
      <c r="D25" s="26">
        <f>'Data Sheet'!C56</f>
        <v>42825</v>
      </c>
      <c r="E25" s="26">
        <f>'Data Sheet'!D56</f>
        <v>43190</v>
      </c>
      <c r="F25" s="26">
        <f>'Data Sheet'!E56</f>
        <v>43555</v>
      </c>
      <c r="G25" s="26">
        <f>'Data Sheet'!F56</f>
        <v>43921</v>
      </c>
      <c r="H25" s="26">
        <f>'Data Sheet'!G56</f>
        <v>44286</v>
      </c>
      <c r="I25" s="26">
        <f>'Data Sheet'!H56</f>
        <v>44651</v>
      </c>
      <c r="J25" s="26">
        <f>'Data Sheet'!I56</f>
        <v>45016</v>
      </c>
      <c r="K25" s="26">
        <f>'Data Sheet'!J56</f>
        <v>45382</v>
      </c>
      <c r="L25" s="26">
        <f>'Data Sheet'!K56</f>
        <v>45747</v>
      </c>
    </row>
    <row r="26" spans="2:14" x14ac:dyDescent="0.3">
      <c r="B26" s="23"/>
      <c r="C26" s="24"/>
      <c r="D26" s="24"/>
      <c r="E26" s="24"/>
      <c r="F26" s="24"/>
      <c r="G26" s="24"/>
      <c r="H26" s="24"/>
      <c r="I26" s="24"/>
      <c r="J26" s="24"/>
      <c r="K26" s="24"/>
      <c r="L26" s="24"/>
    </row>
    <row r="27" spans="2:14" x14ac:dyDescent="0.3">
      <c r="B27" s="23" t="s">
        <v>83</v>
      </c>
      <c r="C27" s="27">
        <f>'Data Sheet'!B61/'Data Sheet'!B$61</f>
        <v>1</v>
      </c>
      <c r="D27" s="27">
        <f>'Data Sheet'!C61/'Data Sheet'!C$61</f>
        <v>1</v>
      </c>
      <c r="E27" s="27">
        <f>'Data Sheet'!D61/'Data Sheet'!D$61</f>
        <v>1</v>
      </c>
      <c r="F27" s="27">
        <f>'Data Sheet'!E61/'Data Sheet'!E$61</f>
        <v>1</v>
      </c>
      <c r="G27" s="27">
        <f>'Data Sheet'!F61/'Data Sheet'!F$61</f>
        <v>1</v>
      </c>
      <c r="H27" s="27">
        <f>'Data Sheet'!G61/'Data Sheet'!G$61</f>
        <v>1</v>
      </c>
      <c r="I27" s="27">
        <f>'Data Sheet'!H61/'Data Sheet'!H$61</f>
        <v>1</v>
      </c>
      <c r="J27" s="27">
        <f>'Data Sheet'!I61/'Data Sheet'!I$61</f>
        <v>1</v>
      </c>
      <c r="K27" s="27">
        <f>'Data Sheet'!J61/'Data Sheet'!J$61</f>
        <v>1</v>
      </c>
      <c r="L27" s="27">
        <f>'Data Sheet'!K61/'Data Sheet'!K$61</f>
        <v>1</v>
      </c>
    </row>
    <row r="28" spans="2:14" x14ac:dyDescent="0.3">
      <c r="B28" t="str">
        <f>'Data Sheet'!A57</f>
        <v>Equity Share Capital</v>
      </c>
      <c r="C28" s="31">
        <f>'Data Sheet'!B57/'Data Sheet'!B$61</f>
        <v>1.678444256126754E-2</v>
      </c>
      <c r="D28" s="31">
        <f>'Data Sheet'!C57/'Data Sheet'!C$61</f>
        <v>1.3373467137328413E-2</v>
      </c>
      <c r="E28" s="31">
        <f>'Data Sheet'!D57/'Data Sheet'!D$61</f>
        <v>1.1509884252814129E-2</v>
      </c>
      <c r="F28" s="31">
        <f>'Data Sheet'!E57/'Data Sheet'!E$61</f>
        <v>1.003557901826325E-2</v>
      </c>
      <c r="G28" s="31">
        <f>'Data Sheet'!F57/'Data Sheet'!F$61</f>
        <v>1.0915495348551227E-2</v>
      </c>
      <c r="H28" s="31">
        <f>'Data Sheet'!G57/'Data Sheet'!G$61</f>
        <v>8.6117641036721048E-3</v>
      </c>
      <c r="I28" s="31">
        <f>'Data Sheet'!H57/'Data Sheet'!H$61</f>
        <v>8.2415274210145429E-3</v>
      </c>
      <c r="J28" s="31">
        <f>'Data Sheet'!I57/'Data Sheet'!I$61</f>
        <v>8.053175548468898E-3</v>
      </c>
      <c r="K28" s="31">
        <f>'Data Sheet'!J57/'Data Sheet'!J$61</f>
        <v>7.0959282161891781E-3</v>
      </c>
      <c r="L28" s="31">
        <f>'Data Sheet'!K57/'Data Sheet'!K$61</f>
        <v>5.1609760280554844E-3</v>
      </c>
    </row>
    <row r="29" spans="2:14" x14ac:dyDescent="0.3">
      <c r="B29" t="str">
        <f>'Data Sheet'!A58</f>
        <v>Reserves</v>
      </c>
      <c r="C29" s="31">
        <f>'Data Sheet'!B58/'Data Sheet'!B$61</f>
        <v>0.79644114366455021</v>
      </c>
      <c r="D29" s="31">
        <f>'Data Sheet'!C58/'Data Sheet'!C$61</f>
        <v>0.81188226801284069</v>
      </c>
      <c r="E29" s="31">
        <f>'Data Sheet'!D58/'Data Sheet'!D$61</f>
        <v>0.80091762459727134</v>
      </c>
      <c r="F29" s="31">
        <f>'Data Sheet'!E58/'Data Sheet'!E$61</f>
        <v>0.79573121142412828</v>
      </c>
      <c r="G29" s="31">
        <f>'Data Sheet'!F58/'Data Sheet'!F$61</f>
        <v>0.80621251888908418</v>
      </c>
      <c r="H29" s="31">
        <f>'Data Sheet'!G58/'Data Sheet'!G$61</f>
        <v>0.80305615398740127</v>
      </c>
      <c r="I29" s="31">
        <f>'Data Sheet'!H58/'Data Sheet'!H$61</f>
        <v>0.84218914699892145</v>
      </c>
      <c r="J29" s="31">
        <f>'Data Sheet'!I58/'Data Sheet'!I$61</f>
        <v>0.82759015210700015</v>
      </c>
      <c r="K29" s="31">
        <f>'Data Sheet'!J58/'Data Sheet'!J$61</f>
        <v>0.72904270036694574</v>
      </c>
      <c r="L29" s="31">
        <f>'Data Sheet'!K58/'Data Sheet'!K$61</f>
        <v>0.64515859568818446</v>
      </c>
    </row>
    <row r="30" spans="2:14" x14ac:dyDescent="0.3">
      <c r="B30" t="str">
        <f>'Data Sheet'!A59</f>
        <v>Borrowings</v>
      </c>
      <c r="C30" s="31">
        <f>'Data Sheet'!B59/'Data Sheet'!B$61</f>
        <v>6.8362801958426651E-3</v>
      </c>
      <c r="D30" s="31">
        <f>'Data Sheet'!C59/'Data Sheet'!C$61</f>
        <v>5.5412748721901956E-3</v>
      </c>
      <c r="E30" s="31">
        <f>'Data Sheet'!D59/'Data Sheet'!D$61</f>
        <v>4.8037070920011133E-3</v>
      </c>
      <c r="F30" s="31">
        <f>'Data Sheet'!E59/'Data Sheet'!E$61</f>
        <v>4.3184514612922545E-3</v>
      </c>
      <c r="G30" s="31">
        <f>'Data Sheet'!F59/'Data Sheet'!F$61</f>
        <v>4.7374539890954435E-3</v>
      </c>
      <c r="H30" s="31">
        <f>'Data Sheet'!G59/'Data Sheet'!G$61</f>
        <v>3.6146969901234192E-3</v>
      </c>
      <c r="I30" s="31">
        <f>'Data Sheet'!H59/'Data Sheet'!H$61</f>
        <v>3.4966040760201658E-3</v>
      </c>
      <c r="J30" s="31">
        <f>'Data Sheet'!I59/'Data Sheet'!I$61</f>
        <v>3.5356446083767714E-3</v>
      </c>
      <c r="K30" s="31">
        <f>'Data Sheet'!J59/'Data Sheet'!J$61</f>
        <v>4.8590765126504398E-2</v>
      </c>
      <c r="L30" s="31">
        <f>'Data Sheet'!K59/'Data Sheet'!K$61</f>
        <v>0.17305810099146329</v>
      </c>
    </row>
    <row r="31" spans="2:14" x14ac:dyDescent="0.3">
      <c r="B31" t="str">
        <f>'Data Sheet'!A60</f>
        <v>Other Liabilities</v>
      </c>
      <c r="C31" s="31">
        <f>'Data Sheet'!B60/'Data Sheet'!B$61</f>
        <v>0.17993813357833968</v>
      </c>
      <c r="D31" s="31">
        <f>'Data Sheet'!C60/'Data Sheet'!C$61</f>
        <v>0.1692029899776408</v>
      </c>
      <c r="E31" s="31">
        <f>'Data Sheet'!D60/'Data Sheet'!D$61</f>
        <v>0.18276878405791336</v>
      </c>
      <c r="F31" s="31">
        <f>'Data Sheet'!E60/'Data Sheet'!E$61</f>
        <v>0.18991475809631617</v>
      </c>
      <c r="G31" s="31">
        <f>'Data Sheet'!F60/'Data Sheet'!F$61</f>
        <v>0.17813453177326913</v>
      </c>
      <c r="H31" s="31">
        <f>'Data Sheet'!G60/'Data Sheet'!G$61</f>
        <v>0.18471738491880324</v>
      </c>
      <c r="I31" s="31">
        <f>'Data Sheet'!H60/'Data Sheet'!H$61</f>
        <v>0.14607272150404388</v>
      </c>
      <c r="J31" s="31">
        <f>'Data Sheet'!I60/'Data Sheet'!I$61</f>
        <v>0.16082102773615436</v>
      </c>
      <c r="K31" s="31">
        <f>'Data Sheet'!J60/'Data Sheet'!J$61</f>
        <v>0.21527060629036068</v>
      </c>
      <c r="L31" s="31">
        <f>'Data Sheet'!K60/'Data Sheet'!K$61</f>
        <v>0.17662232729229688</v>
      </c>
    </row>
    <row r="32" spans="2:14" x14ac:dyDescent="0.3">
      <c r="C32" s="12"/>
      <c r="D32" s="12"/>
      <c r="E32" s="12"/>
      <c r="F32" s="12"/>
      <c r="G32" s="12"/>
      <c r="H32" s="12"/>
      <c r="I32" s="12"/>
      <c r="J32" s="12"/>
      <c r="K32" s="12"/>
      <c r="L32" s="12"/>
    </row>
    <row r="33" spans="2:12" x14ac:dyDescent="0.3">
      <c r="B33" s="23" t="s">
        <v>116</v>
      </c>
      <c r="C33" s="27">
        <f>'Data Sheet'!B67/'Data Sheet'!B$67</f>
        <v>1</v>
      </c>
      <c r="D33" s="27">
        <f>'Data Sheet'!C67/'Data Sheet'!C$67</f>
        <v>1</v>
      </c>
      <c r="E33" s="27">
        <f>'Data Sheet'!D67/'Data Sheet'!D$67</f>
        <v>1</v>
      </c>
      <c r="F33" s="27">
        <f>'Data Sheet'!E67/'Data Sheet'!E$67</f>
        <v>1</v>
      </c>
      <c r="G33" s="27">
        <f>'Data Sheet'!F67/'Data Sheet'!F$67</f>
        <v>1</v>
      </c>
      <c r="H33" s="27">
        <f>'Data Sheet'!G67/'Data Sheet'!G$67</f>
        <v>1</v>
      </c>
      <c r="I33" s="27">
        <f>'Data Sheet'!H67/'Data Sheet'!H$67</f>
        <v>1</v>
      </c>
      <c r="J33" s="27">
        <f>'Data Sheet'!I67/'Data Sheet'!I$67</f>
        <v>1</v>
      </c>
      <c r="K33" s="27">
        <f>'Data Sheet'!J67/'Data Sheet'!J$67</f>
        <v>1</v>
      </c>
      <c r="L33" s="27">
        <f>'Data Sheet'!K67/'Data Sheet'!K$67</f>
        <v>1</v>
      </c>
    </row>
    <row r="34" spans="2:12" x14ac:dyDescent="0.3">
      <c r="B34" t="str">
        <f>'Data Sheet'!A63</f>
        <v>Net Block</v>
      </c>
      <c r="C34" s="31">
        <f>'Data Sheet'!B63/'Data Sheet'!B$67</f>
        <v>0.11749573820051427</v>
      </c>
      <c r="D34" s="31">
        <f>'Data Sheet'!C63/'Data Sheet'!C$67</f>
        <v>9.2514333831539702E-2</v>
      </c>
      <c r="E34" s="31">
        <f>'Data Sheet'!D63/'Data Sheet'!D$67</f>
        <v>7.4711825305278229E-2</v>
      </c>
      <c r="F34" s="31">
        <f>'Data Sheet'!E63/'Data Sheet'!E$67</f>
        <v>6.1174825494955509E-2</v>
      </c>
      <c r="G34" s="31">
        <f>'Data Sheet'!F63/'Data Sheet'!F$67</f>
        <v>6.4089729091113476E-2</v>
      </c>
      <c r="H34" s="31">
        <f>'Data Sheet'!G63/'Data Sheet'!G$67</f>
        <v>4.9626938629016203E-2</v>
      </c>
      <c r="I34" s="31">
        <f>'Data Sheet'!H63/'Data Sheet'!H$67</f>
        <v>5.2292416011866294E-2</v>
      </c>
      <c r="J34" s="31">
        <f>'Data Sheet'!I63/'Data Sheet'!I$67</f>
        <v>8.0891495868250771E-2</v>
      </c>
      <c r="K34" s="31">
        <f>'Data Sheet'!J63/'Data Sheet'!J$67</f>
        <v>8.1776010333550309E-2</v>
      </c>
      <c r="L34" s="31">
        <f>'Data Sheet'!K63/'Data Sheet'!K$67</f>
        <v>6.7946690736190335E-2</v>
      </c>
    </row>
    <row r="35" spans="2:12" x14ac:dyDescent="0.3">
      <c r="B35" t="str">
        <f>'Data Sheet'!A64</f>
        <v>Capital Work in Progress</v>
      </c>
      <c r="C35" s="31">
        <f>'Data Sheet'!B64/'Data Sheet'!B$67</f>
        <v>3.0300973819007366E-3</v>
      </c>
      <c r="D35" s="31">
        <f>'Data Sheet'!C64/'Data Sheet'!C$67</f>
        <v>1.9489204450397041E-3</v>
      </c>
      <c r="E35" s="31">
        <f>'Data Sheet'!D64/'Data Sheet'!D$67</f>
        <v>2.2461318165546318E-3</v>
      </c>
      <c r="F35" s="31">
        <f>'Data Sheet'!E64/'Data Sheet'!E$67</f>
        <v>1.6653713393129945E-3</v>
      </c>
      <c r="G35" s="31">
        <f>'Data Sheet'!F64/'Data Sheet'!F$67</f>
        <v>2.2704622629481229E-3</v>
      </c>
      <c r="H35" s="31">
        <f>'Data Sheet'!G64/'Data Sheet'!G$67</f>
        <v>4.7557103492649631E-4</v>
      </c>
      <c r="I35" s="31">
        <f>'Data Sheet'!H64/'Data Sheet'!H$67</f>
        <v>2.1990127939196624E-3</v>
      </c>
      <c r="J35" s="31">
        <f>'Data Sheet'!I64/'Data Sheet'!I$67</f>
        <v>2.426824565372996E-3</v>
      </c>
      <c r="K35" s="31">
        <f>'Data Sheet'!J64/'Data Sheet'!J$67</f>
        <v>8.921379768903222E-4</v>
      </c>
      <c r="L35" s="31">
        <f>'Data Sheet'!K64/'Data Sheet'!K$67</f>
        <v>1.1236386969339447E-3</v>
      </c>
    </row>
    <row r="36" spans="2:12" x14ac:dyDescent="0.3">
      <c r="B36" t="str">
        <f>'Data Sheet'!A65</f>
        <v>Investments</v>
      </c>
      <c r="C36" s="31">
        <f>'Data Sheet'!B65/'Data Sheet'!B$67</f>
        <v>0.64193691898723748</v>
      </c>
      <c r="D36" s="31">
        <f>'Data Sheet'!C65/'Data Sheet'!C$67</f>
        <v>0.7152838436020228</v>
      </c>
      <c r="E36" s="31">
        <f>'Data Sheet'!D65/'Data Sheet'!D$67</f>
        <v>0.75154409132492739</v>
      </c>
      <c r="F36" s="31">
        <f>'Data Sheet'!E65/'Data Sheet'!E$67</f>
        <v>0.71452302994928629</v>
      </c>
      <c r="G36" s="31">
        <f>'Data Sheet'!F65/'Data Sheet'!F$67</f>
        <v>0.75117182106991998</v>
      </c>
      <c r="H36" s="31">
        <f>'Data Sheet'!G65/'Data Sheet'!G$67</f>
        <v>0.73468433600551886</v>
      </c>
      <c r="I36" s="31">
        <f>'Data Sheet'!H65/'Data Sheet'!H$67</f>
        <v>0.75856457239724862</v>
      </c>
      <c r="J36" s="31">
        <f>'Data Sheet'!I65/'Data Sheet'!I$67</f>
        <v>0.74517801314589271</v>
      </c>
      <c r="K36" s="31">
        <f>'Data Sheet'!J65/'Data Sheet'!J$67</f>
        <v>0.71388016731526704</v>
      </c>
      <c r="L36" s="31">
        <f>'Data Sheet'!K65/'Data Sheet'!K$67</f>
        <v>0.53435432911377434</v>
      </c>
    </row>
    <row r="37" spans="2:12" x14ac:dyDescent="0.3">
      <c r="B37" t="str">
        <f>'Data Sheet'!A66</f>
        <v>Other Assets</v>
      </c>
      <c r="C37" s="31">
        <f>'Data Sheet'!B66/'Data Sheet'!B$67</f>
        <v>0.23753724543034752</v>
      </c>
      <c r="D37" s="31">
        <f>'Data Sheet'!C66/'Data Sheet'!C$67</f>
        <v>0.19025290212139784</v>
      </c>
      <c r="E37" s="31">
        <f>'Data Sheet'!D66/'Data Sheet'!D$67</f>
        <v>0.17149795155323974</v>
      </c>
      <c r="F37" s="31">
        <f>'Data Sheet'!E66/'Data Sheet'!E$67</f>
        <v>0.22263677321644523</v>
      </c>
      <c r="G37" s="31">
        <f>'Data Sheet'!F66/'Data Sheet'!F$67</f>
        <v>0.1824679875760184</v>
      </c>
      <c r="H37" s="31">
        <f>'Data Sheet'!G66/'Data Sheet'!G$67</f>
        <v>0.21521315433053853</v>
      </c>
      <c r="I37" s="31">
        <f>'Data Sheet'!H66/'Data Sheet'!H$67</f>
        <v>0.18694399879696541</v>
      </c>
      <c r="J37" s="31">
        <f>'Data Sheet'!I66/'Data Sheet'!I$67</f>
        <v>0.17150366642048359</v>
      </c>
      <c r="K37" s="31">
        <f>'Data Sheet'!J66/'Data Sheet'!J$67</f>
        <v>0.20345168437429229</v>
      </c>
      <c r="L37" s="31">
        <f>'Data Sheet'!K66/'Data Sheet'!K$67</f>
        <v>0.39657534145310142</v>
      </c>
    </row>
    <row r="38" spans="2:12" x14ac:dyDescent="0.3">
      <c r="C38" s="29"/>
      <c r="D38" s="29"/>
      <c r="E38" s="29"/>
      <c r="F38" s="29"/>
      <c r="G38" s="29"/>
      <c r="H38" s="29"/>
      <c r="I38" s="29"/>
      <c r="J38" s="29"/>
      <c r="K38" s="29"/>
      <c r="L38" s="29"/>
    </row>
  </sheetData>
  <mergeCells count="2">
    <mergeCell ref="B2:L2"/>
    <mergeCell ref="B23:L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28DCD-89CA-48D9-A0E4-5678921049B7}">
  <sheetPr>
    <tabColor theme="7" tint="-0.499984740745262"/>
  </sheetPr>
  <dimension ref="B2:L33"/>
  <sheetViews>
    <sheetView workbookViewId="0">
      <selection activeCell="D21" sqref="D21"/>
    </sheetView>
  </sheetViews>
  <sheetFormatPr defaultRowHeight="14.4" x14ac:dyDescent="0.3"/>
  <cols>
    <col min="2" max="2" width="25.77734375" bestFit="1" customWidth="1"/>
    <col min="3" max="12" width="12.77734375" customWidth="1"/>
  </cols>
  <sheetData>
    <row r="2" spans="2:12" x14ac:dyDescent="0.3">
      <c r="C2" s="24">
        <v>42430</v>
      </c>
      <c r="D2" s="24">
        <v>42795</v>
      </c>
      <c r="E2" s="24">
        <v>43160</v>
      </c>
      <c r="F2" s="24">
        <v>43525</v>
      </c>
      <c r="G2" s="24">
        <v>43891</v>
      </c>
      <c r="H2" s="24">
        <v>44256</v>
      </c>
      <c r="I2" s="24">
        <v>44621</v>
      </c>
      <c r="J2" s="24">
        <v>44986</v>
      </c>
      <c r="K2" s="24">
        <v>45352</v>
      </c>
      <c r="L2" s="24">
        <v>45717</v>
      </c>
    </row>
    <row r="3" spans="2:12" x14ac:dyDescent="0.3">
      <c r="B3" s="23" t="s">
        <v>89</v>
      </c>
      <c r="C3" s="22">
        <v>3690</v>
      </c>
      <c r="D3" s="22">
        <v>3267</v>
      </c>
      <c r="E3" s="22">
        <v>4328</v>
      </c>
      <c r="F3" s="22">
        <v>2487</v>
      </c>
      <c r="G3" s="22">
        <v>3850</v>
      </c>
      <c r="H3" s="22">
        <v>3120</v>
      </c>
      <c r="I3" s="22">
        <v>4197</v>
      </c>
      <c r="J3" s="22">
        <v>5277</v>
      </c>
      <c r="K3" s="22">
        <v>6558</v>
      </c>
      <c r="L3" s="22">
        <v>-1406</v>
      </c>
    </row>
    <row r="4" spans="2:12" x14ac:dyDescent="0.3">
      <c r="B4" t="s">
        <v>90</v>
      </c>
      <c r="C4" s="22">
        <v>4930</v>
      </c>
      <c r="D4" s="22">
        <v>4613</v>
      </c>
      <c r="E4" s="22">
        <v>4922</v>
      </c>
      <c r="F4" s="22">
        <v>5249</v>
      </c>
      <c r="G4" s="22">
        <v>5163</v>
      </c>
      <c r="H4" s="22">
        <v>4961</v>
      </c>
      <c r="I4" s="22">
        <v>5300</v>
      </c>
      <c r="J4" s="22">
        <v>6609</v>
      </c>
      <c r="K4" s="22">
        <v>8784</v>
      </c>
      <c r="L4" s="22">
        <v>10404</v>
      </c>
    </row>
    <row r="5" spans="2:12" x14ac:dyDescent="0.3">
      <c r="B5" t="s">
        <v>42</v>
      </c>
      <c r="C5" s="22">
        <v>-5</v>
      </c>
      <c r="D5" s="22">
        <v>-241</v>
      </c>
      <c r="E5" s="22">
        <v>-539</v>
      </c>
      <c r="F5" s="22">
        <v>-1070</v>
      </c>
      <c r="G5">
        <v>829</v>
      </c>
      <c r="H5" s="22">
        <v>-1002</v>
      </c>
      <c r="I5" s="22">
        <v>1203</v>
      </c>
      <c r="J5" s="22">
        <v>-243</v>
      </c>
      <c r="K5">
        <v>-293</v>
      </c>
      <c r="L5">
        <v>-52</v>
      </c>
    </row>
    <row r="6" spans="2:12" x14ac:dyDescent="0.3">
      <c r="B6" t="s">
        <v>29</v>
      </c>
      <c r="C6" s="22">
        <v>95</v>
      </c>
      <c r="D6" s="22">
        <v>-9</v>
      </c>
      <c r="E6" s="22">
        <v>-14</v>
      </c>
      <c r="F6" s="22">
        <v>-219</v>
      </c>
      <c r="G6">
        <v>-102</v>
      </c>
      <c r="H6" s="22">
        <v>-430</v>
      </c>
      <c r="I6" s="22">
        <v>263</v>
      </c>
      <c r="J6" s="22">
        <v>-333</v>
      </c>
      <c r="K6">
        <v>-125</v>
      </c>
      <c r="L6">
        <v>-389</v>
      </c>
    </row>
    <row r="7" spans="2:12" x14ac:dyDescent="0.3">
      <c r="B7" t="s">
        <v>92</v>
      </c>
      <c r="C7" s="22">
        <v>0</v>
      </c>
      <c r="D7" s="22">
        <v>0</v>
      </c>
      <c r="E7" s="22">
        <v>0</v>
      </c>
      <c r="F7" s="22">
        <v>0</v>
      </c>
      <c r="G7" s="22">
        <v>0</v>
      </c>
      <c r="H7" s="22">
        <v>0</v>
      </c>
      <c r="I7" s="22">
        <v>0</v>
      </c>
      <c r="J7" s="22">
        <v>0</v>
      </c>
      <c r="K7">
        <v>0</v>
      </c>
      <c r="L7" s="22">
        <v>-9848</v>
      </c>
    </row>
    <row r="8" spans="2:12" x14ac:dyDescent="0.3">
      <c r="B8" t="s">
        <v>93</v>
      </c>
      <c r="C8">
        <v>489</v>
      </c>
      <c r="D8">
        <v>407</v>
      </c>
      <c r="E8" s="22">
        <v>1644</v>
      </c>
      <c r="F8">
        <v>491</v>
      </c>
      <c r="G8">
        <v>-361</v>
      </c>
      <c r="H8">
        <v>931</v>
      </c>
      <c r="I8">
        <v>-867</v>
      </c>
      <c r="J8" s="22">
        <v>1164</v>
      </c>
      <c r="K8">
        <v>579</v>
      </c>
      <c r="L8" s="22">
        <v>1229</v>
      </c>
    </row>
    <row r="9" spans="2:12" x14ac:dyDescent="0.3">
      <c r="B9" t="s">
        <v>94</v>
      </c>
      <c r="C9">
        <v>579</v>
      </c>
      <c r="D9" s="22">
        <v>157</v>
      </c>
      <c r="E9" s="22">
        <v>1091</v>
      </c>
      <c r="F9" s="22">
        <v>-798</v>
      </c>
      <c r="G9" s="22">
        <v>366</v>
      </c>
      <c r="H9" s="22">
        <v>-501</v>
      </c>
      <c r="I9" s="22">
        <v>599</v>
      </c>
      <c r="J9" s="22">
        <v>587</v>
      </c>
      <c r="K9">
        <v>161</v>
      </c>
      <c r="L9" s="22">
        <v>-9060</v>
      </c>
    </row>
    <row r="10" spans="2:12" x14ac:dyDescent="0.3">
      <c r="B10" t="s">
        <v>95</v>
      </c>
      <c r="C10" s="22">
        <v>-1819</v>
      </c>
      <c r="D10" s="22">
        <v>-1503</v>
      </c>
      <c r="E10" s="22">
        <v>-1685</v>
      </c>
      <c r="F10" s="22">
        <v>-1964</v>
      </c>
      <c r="G10" s="22">
        <v>-1678</v>
      </c>
      <c r="H10" s="22">
        <v>-1340</v>
      </c>
      <c r="I10" s="22">
        <v>-1702</v>
      </c>
      <c r="J10" s="22">
        <v>-1919</v>
      </c>
      <c r="K10" s="22">
        <v>-2387</v>
      </c>
      <c r="L10" s="22">
        <v>-2750</v>
      </c>
    </row>
    <row r="11" spans="2:12" x14ac:dyDescent="0.3">
      <c r="B11" s="23" t="s">
        <v>96</v>
      </c>
      <c r="C11" s="22">
        <v>-68</v>
      </c>
      <c r="D11" s="22">
        <v>-3610</v>
      </c>
      <c r="E11" s="22">
        <v>-1954</v>
      </c>
      <c r="F11" s="22">
        <v>-273</v>
      </c>
      <c r="G11" s="22">
        <v>1766</v>
      </c>
      <c r="H11" s="22">
        <v>-2869</v>
      </c>
      <c r="I11" s="22">
        <v>276</v>
      </c>
      <c r="J11" s="22">
        <v>1211</v>
      </c>
      <c r="K11">
        <v>-72</v>
      </c>
      <c r="L11" s="22">
        <v>-1053</v>
      </c>
    </row>
    <row r="12" spans="2:12" x14ac:dyDescent="0.3">
      <c r="B12" t="s">
        <v>97</v>
      </c>
      <c r="C12" s="22">
        <v>-271</v>
      </c>
      <c r="D12" s="22">
        <v>-206</v>
      </c>
      <c r="E12" s="22">
        <v>-196</v>
      </c>
      <c r="F12" s="22">
        <v>-184</v>
      </c>
      <c r="G12" s="22">
        <v>-297</v>
      </c>
      <c r="H12" s="22">
        <v>-260</v>
      </c>
      <c r="I12" s="22">
        <v>-551</v>
      </c>
      <c r="J12" s="22">
        <v>-1110</v>
      </c>
      <c r="K12">
        <v>-723</v>
      </c>
      <c r="L12">
        <v>-874</v>
      </c>
    </row>
    <row r="13" spans="2:12" x14ac:dyDescent="0.3">
      <c r="B13" t="s">
        <v>98</v>
      </c>
      <c r="C13" s="22">
        <v>0</v>
      </c>
      <c r="D13" s="22">
        <v>9</v>
      </c>
      <c r="E13" s="22">
        <v>13</v>
      </c>
      <c r="F13" s="22">
        <v>76</v>
      </c>
      <c r="G13" s="22">
        <v>17</v>
      </c>
      <c r="H13" s="22">
        <v>6</v>
      </c>
      <c r="I13" s="22">
        <v>33</v>
      </c>
      <c r="J13" s="22">
        <v>137</v>
      </c>
      <c r="K13">
        <v>12</v>
      </c>
      <c r="L13">
        <v>6</v>
      </c>
    </row>
    <row r="14" spans="2:12" x14ac:dyDescent="0.3">
      <c r="B14" t="s">
        <v>99</v>
      </c>
      <c r="C14" s="22">
        <v>-6263</v>
      </c>
      <c r="D14" s="22">
        <v>-5783</v>
      </c>
      <c r="E14" s="22">
        <v>-7484</v>
      </c>
      <c r="F14" s="22">
        <v>-9601</v>
      </c>
      <c r="G14" s="22">
        <v>-3518</v>
      </c>
      <c r="H14" s="22">
        <v>-6240</v>
      </c>
      <c r="I14" s="22">
        <v>-11293</v>
      </c>
      <c r="J14" s="22">
        <v>-9384</v>
      </c>
      <c r="K14" s="22">
        <v>-17365</v>
      </c>
      <c r="L14" s="22">
        <v>-11897</v>
      </c>
    </row>
    <row r="15" spans="2:12" x14ac:dyDescent="0.3">
      <c r="B15" t="s">
        <v>100</v>
      </c>
      <c r="C15" s="22">
        <v>6360</v>
      </c>
      <c r="D15" s="22">
        <v>2200</v>
      </c>
      <c r="E15" s="22">
        <v>5547</v>
      </c>
      <c r="F15" s="22">
        <v>9355</v>
      </c>
      <c r="G15" s="22">
        <v>5346</v>
      </c>
      <c r="H15" s="22">
        <v>3556</v>
      </c>
      <c r="I15" s="22">
        <v>11527</v>
      </c>
      <c r="J15" s="22">
        <v>11553</v>
      </c>
      <c r="K15" s="22">
        <v>17248</v>
      </c>
      <c r="L15" s="22">
        <v>11229</v>
      </c>
    </row>
    <row r="16" spans="2:12" x14ac:dyDescent="0.3">
      <c r="B16" t="s">
        <v>114</v>
      </c>
      <c r="C16" s="22">
        <v>0</v>
      </c>
      <c r="D16" s="22">
        <v>0</v>
      </c>
      <c r="E16">
        <v>0</v>
      </c>
      <c r="F16">
        <v>0</v>
      </c>
      <c r="G16">
        <v>0</v>
      </c>
      <c r="H16" s="22">
        <v>0</v>
      </c>
      <c r="I16" s="22">
        <v>0</v>
      </c>
      <c r="J16">
        <v>0</v>
      </c>
      <c r="K16">
        <v>0</v>
      </c>
      <c r="L16">
        <v>0</v>
      </c>
    </row>
    <row r="17" spans="2:12" x14ac:dyDescent="0.3">
      <c r="B17" t="s">
        <v>101</v>
      </c>
      <c r="C17">
        <v>92</v>
      </c>
      <c r="D17">
        <v>63</v>
      </c>
      <c r="E17" s="22">
        <v>70</v>
      </c>
      <c r="F17">
        <v>16</v>
      </c>
      <c r="G17">
        <v>23</v>
      </c>
      <c r="H17">
        <v>66</v>
      </c>
      <c r="I17" s="22">
        <v>197</v>
      </c>
      <c r="J17" s="22">
        <v>376</v>
      </c>
      <c r="K17">
        <v>413</v>
      </c>
      <c r="L17">
        <v>277</v>
      </c>
    </row>
    <row r="18" spans="2:12" x14ac:dyDescent="0.3">
      <c r="B18" t="s">
        <v>102</v>
      </c>
      <c r="C18" s="22">
        <v>0</v>
      </c>
      <c r="D18">
        <v>0</v>
      </c>
      <c r="E18">
        <v>0</v>
      </c>
      <c r="F18">
        <v>0</v>
      </c>
      <c r="G18">
        <v>25</v>
      </c>
      <c r="H18">
        <v>0</v>
      </c>
      <c r="I18">
        <v>46</v>
      </c>
      <c r="J18">
        <v>47</v>
      </c>
      <c r="K18">
        <v>43</v>
      </c>
      <c r="L18">
        <v>30</v>
      </c>
    </row>
    <row r="19" spans="2:12" x14ac:dyDescent="0.3">
      <c r="B19" t="s">
        <v>103</v>
      </c>
      <c r="C19">
        <v>15</v>
      </c>
      <c r="D19">
        <v>107</v>
      </c>
      <c r="E19">
        <v>95</v>
      </c>
      <c r="F19">
        <v>65</v>
      </c>
      <c r="G19">
        <v>170</v>
      </c>
      <c r="H19">
        <v>2</v>
      </c>
      <c r="I19">
        <v>318</v>
      </c>
      <c r="J19">
        <v>-407</v>
      </c>
      <c r="K19">
        <v>300</v>
      </c>
      <c r="L19">
        <v>174</v>
      </c>
    </row>
    <row r="20" spans="2:12" x14ac:dyDescent="0.3">
      <c r="B20" s="23" t="s">
        <v>104</v>
      </c>
      <c r="C20" s="22">
        <v>-3384</v>
      </c>
      <c r="D20">
        <v>-190</v>
      </c>
      <c r="E20" s="22">
        <v>-1885</v>
      </c>
      <c r="F20" s="22">
        <v>-2074</v>
      </c>
      <c r="G20" s="22">
        <v>-6247</v>
      </c>
      <c r="H20">
        <v>-20</v>
      </c>
      <c r="I20" s="22">
        <v>-4056</v>
      </c>
      <c r="J20" s="22">
        <v>-7181</v>
      </c>
      <c r="K20" s="22">
        <v>-6167</v>
      </c>
      <c r="L20" s="22">
        <v>4230</v>
      </c>
    </row>
    <row r="21" spans="2:12" x14ac:dyDescent="0.3">
      <c r="B21" t="s">
        <v>105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87</v>
      </c>
      <c r="L21">
        <v>29</v>
      </c>
    </row>
    <row r="22" spans="2:12" x14ac:dyDescent="0.3">
      <c r="B22" t="s">
        <v>106</v>
      </c>
      <c r="C22">
        <v>50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 s="22">
        <v>1785</v>
      </c>
      <c r="L22" s="22">
        <v>8945</v>
      </c>
    </row>
    <row r="23" spans="2:12" x14ac:dyDescent="0.3">
      <c r="B23" t="s">
        <v>107</v>
      </c>
      <c r="C23" s="22">
        <v>0</v>
      </c>
      <c r="D23" s="22">
        <v>0</v>
      </c>
      <c r="E23" s="22">
        <v>0</v>
      </c>
      <c r="F23" s="22">
        <v>0</v>
      </c>
      <c r="G23" s="22">
        <v>0</v>
      </c>
      <c r="H23" s="22">
        <v>0</v>
      </c>
      <c r="I23" s="22">
        <v>0</v>
      </c>
      <c r="J23" s="22">
        <v>0</v>
      </c>
      <c r="K23">
        <v>0</v>
      </c>
      <c r="L23" s="22">
        <v>-1511</v>
      </c>
    </row>
    <row r="24" spans="2:12" x14ac:dyDescent="0.3">
      <c r="B24" t="s">
        <v>108</v>
      </c>
      <c r="C24" s="22">
        <v>0</v>
      </c>
      <c r="D24" s="22">
        <v>-1</v>
      </c>
      <c r="E24" s="22">
        <v>0</v>
      </c>
      <c r="F24" s="22">
        <v>-4</v>
      </c>
      <c r="G24" s="22">
        <v>-2</v>
      </c>
      <c r="H24" s="22">
        <v>-5</v>
      </c>
      <c r="I24" s="22">
        <v>-7</v>
      </c>
      <c r="J24" s="22">
        <v>-38</v>
      </c>
      <c r="K24">
        <v>-59</v>
      </c>
      <c r="L24">
        <v>-66</v>
      </c>
    </row>
    <row r="25" spans="2:12" x14ac:dyDescent="0.3">
      <c r="B25" t="s">
        <v>109</v>
      </c>
      <c r="C25" s="22">
        <v>-2863</v>
      </c>
      <c r="D25">
        <v>-173</v>
      </c>
      <c r="E25" s="22">
        <v>-1588</v>
      </c>
      <c r="F25" s="22">
        <v>-1736</v>
      </c>
      <c r="G25" s="22">
        <v>-5195</v>
      </c>
      <c r="H25">
        <v>-14</v>
      </c>
      <c r="I25" s="22">
        <v>-4049</v>
      </c>
      <c r="J25" s="22">
        <v>-4047</v>
      </c>
      <c r="K25" s="22">
        <v>-3960</v>
      </c>
      <c r="L25" s="22">
        <v>-2235</v>
      </c>
    </row>
    <row r="26" spans="2:12" x14ac:dyDescent="0.3">
      <c r="B26" t="s">
        <v>110</v>
      </c>
      <c r="C26">
        <v>-571</v>
      </c>
      <c r="D26">
        <v>-17</v>
      </c>
      <c r="E26">
        <v>-296</v>
      </c>
      <c r="F26">
        <v>-335</v>
      </c>
      <c r="G26" s="22">
        <v>-1049</v>
      </c>
      <c r="H26">
        <v>0</v>
      </c>
      <c r="I26">
        <v>0</v>
      </c>
      <c r="J26" s="22">
        <v>-3096</v>
      </c>
      <c r="K26" s="22">
        <v>-4019</v>
      </c>
      <c r="L26">
        <v>-932</v>
      </c>
    </row>
    <row r="27" spans="2:12" x14ac:dyDescent="0.3">
      <c r="B27" t="s">
        <v>20</v>
      </c>
      <c r="C27" s="22">
        <v>238</v>
      </c>
      <c r="D27" s="22">
        <v>-532</v>
      </c>
      <c r="E27" s="22">
        <v>488</v>
      </c>
      <c r="F27" s="22">
        <v>140</v>
      </c>
      <c r="G27" s="22">
        <v>-630</v>
      </c>
      <c r="H27" s="22">
        <v>231</v>
      </c>
      <c r="I27" s="22">
        <v>417</v>
      </c>
      <c r="J27" s="22">
        <v>-692</v>
      </c>
      <c r="K27">
        <v>319</v>
      </c>
      <c r="L27" s="22">
        <v>1771</v>
      </c>
    </row>
    <row r="28" spans="2:12" x14ac:dyDescent="0.3">
      <c r="C28" s="22"/>
      <c r="D28" s="22"/>
      <c r="E28" s="22"/>
      <c r="F28" s="22"/>
      <c r="G28" s="22"/>
      <c r="H28" s="22"/>
      <c r="I28" s="22"/>
      <c r="J28" s="22"/>
    </row>
    <row r="29" spans="2:12" x14ac:dyDescent="0.3">
      <c r="C29" s="22"/>
      <c r="D29" s="22"/>
      <c r="E29" s="22"/>
      <c r="F29" s="22"/>
      <c r="G29" s="22"/>
      <c r="H29" s="22"/>
      <c r="I29" s="22"/>
      <c r="J29" s="22"/>
    </row>
    <row r="30" spans="2:12" x14ac:dyDescent="0.3">
      <c r="I30" s="22"/>
      <c r="J30" s="22"/>
    </row>
    <row r="31" spans="2:12" x14ac:dyDescent="0.3">
      <c r="E31" s="22"/>
      <c r="F31" s="22"/>
      <c r="G31" s="22"/>
      <c r="H31" s="22"/>
      <c r="I31" s="22"/>
      <c r="J31" s="22"/>
    </row>
    <row r="32" spans="2:12" x14ac:dyDescent="0.3">
      <c r="G32" s="22"/>
      <c r="H32" s="22"/>
      <c r="I32" s="22"/>
      <c r="J32" s="22"/>
    </row>
    <row r="33" spans="4:10" x14ac:dyDescent="0.3">
      <c r="D33" s="22"/>
      <c r="E33" s="22"/>
      <c r="F33" s="22"/>
      <c r="G33" s="22"/>
      <c r="H33" s="22"/>
      <c r="I33" s="22"/>
      <c r="J33" s="2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7" tint="-0.499984740745262"/>
  </sheetPr>
  <dimension ref="A1:L94"/>
  <sheetViews>
    <sheetView topLeftCell="A51" zoomScale="92" zoomScaleNormal="120" zoomScalePageLayoutView="120" workbookViewId="0">
      <selection activeCell="B66" sqref="B66"/>
    </sheetView>
  </sheetViews>
  <sheetFormatPr defaultColWidth="8.77734375" defaultRowHeight="14.4" x14ac:dyDescent="0.3"/>
  <cols>
    <col min="1" max="1" width="27.6640625" style="2" bestFit="1" customWidth="1"/>
    <col min="2" max="11" width="13.44140625" style="2" bestFit="1" customWidth="1"/>
    <col min="12" max="12" width="11.6640625" style="2" bestFit="1" customWidth="1"/>
    <col min="13" max="16384" width="8.77734375" style="2"/>
  </cols>
  <sheetData>
    <row r="1" spans="1:11" s="1" customFormat="1" x14ac:dyDescent="0.3">
      <c r="A1" s="1" t="s">
        <v>0</v>
      </c>
      <c r="B1" s="1" t="s">
        <v>32</v>
      </c>
      <c r="E1" s="34" t="str">
        <f>IF(B2&lt;&gt;B3, "A NEW VERSION OF THE WORKSHEET IS AVAILABLE", "")</f>
        <v/>
      </c>
      <c r="F1" s="34"/>
      <c r="G1" s="34"/>
      <c r="H1" s="34"/>
      <c r="I1" s="34"/>
      <c r="J1" s="34"/>
      <c r="K1" s="34"/>
    </row>
    <row r="2" spans="1:11" x14ac:dyDescent="0.3">
      <c r="A2" s="1" t="s">
        <v>30</v>
      </c>
      <c r="B2" s="2">
        <v>2.1</v>
      </c>
      <c r="E2" s="35" t="s">
        <v>21</v>
      </c>
      <c r="F2" s="35"/>
      <c r="G2" s="35"/>
      <c r="H2" s="35"/>
      <c r="I2" s="35"/>
      <c r="J2" s="35"/>
      <c r="K2" s="35"/>
    </row>
    <row r="3" spans="1:11" x14ac:dyDescent="0.3">
      <c r="A3" s="1" t="s">
        <v>31</v>
      </c>
      <c r="B3" s="2">
        <v>2.1</v>
      </c>
    </row>
    <row r="4" spans="1:11" x14ac:dyDescent="0.3">
      <c r="A4" s="1"/>
    </row>
    <row r="5" spans="1:11" x14ac:dyDescent="0.3">
      <c r="A5" s="1" t="s">
        <v>33</v>
      </c>
    </row>
    <row r="6" spans="1:11" x14ac:dyDescent="0.3">
      <c r="A6" s="2" t="s">
        <v>27</v>
      </c>
      <c r="B6" s="2">
        <f>IF(B9&gt;0, B9/B8, 0)</f>
        <v>27.946329712587154</v>
      </c>
    </row>
    <row r="7" spans="1:11" x14ac:dyDescent="0.3">
      <c r="A7" s="2" t="s">
        <v>16</v>
      </c>
      <c r="B7">
        <v>10</v>
      </c>
    </row>
    <row r="8" spans="1:11" x14ac:dyDescent="0.3">
      <c r="A8" s="2" t="s">
        <v>28</v>
      </c>
      <c r="B8">
        <v>9049.7000000000007</v>
      </c>
    </row>
    <row r="9" spans="1:11" x14ac:dyDescent="0.3">
      <c r="A9" s="2" t="s">
        <v>43</v>
      </c>
      <c r="B9">
        <v>252905.9</v>
      </c>
    </row>
    <row r="15" spans="1:11" x14ac:dyDescent="0.3">
      <c r="A15" s="1" t="s">
        <v>22</v>
      </c>
    </row>
    <row r="16" spans="1:11" s="6" customFormat="1" x14ac:dyDescent="0.3">
      <c r="A16" s="5" t="s">
        <v>23</v>
      </c>
      <c r="B16" s="4">
        <v>42460</v>
      </c>
      <c r="C16" s="4">
        <v>42825</v>
      </c>
      <c r="D16" s="4">
        <v>43190</v>
      </c>
      <c r="E16" s="4">
        <v>43555</v>
      </c>
      <c r="F16" s="4">
        <v>43921</v>
      </c>
      <c r="G16" s="4">
        <v>44286</v>
      </c>
      <c r="H16" s="4">
        <v>44651</v>
      </c>
      <c r="I16" s="4">
        <v>45016</v>
      </c>
      <c r="J16" s="4">
        <v>45382</v>
      </c>
      <c r="K16" s="4">
        <v>45747</v>
      </c>
    </row>
    <row r="17" spans="1:11" s="3" customFormat="1" x14ac:dyDescent="0.3">
      <c r="A17" s="3" t="s">
        <v>1</v>
      </c>
      <c r="B17">
        <v>22573.69</v>
      </c>
      <c r="C17">
        <v>21754.720000000001</v>
      </c>
      <c r="D17">
        <v>25209.93</v>
      </c>
      <c r="E17">
        <v>30357.63</v>
      </c>
      <c r="F17">
        <v>29918.65</v>
      </c>
      <c r="G17">
        <v>27741.08</v>
      </c>
      <c r="H17">
        <v>33144.71</v>
      </c>
      <c r="I17">
        <v>36455.379999999997</v>
      </c>
      <c r="J17">
        <v>44870.43</v>
      </c>
      <c r="K17">
        <v>50994.55</v>
      </c>
    </row>
    <row r="18" spans="1:11" s="3" customFormat="1" x14ac:dyDescent="0.3">
      <c r="A18" s="2" t="s">
        <v>44</v>
      </c>
      <c r="B18">
        <v>14993.41</v>
      </c>
      <c r="C18">
        <v>14667.83</v>
      </c>
      <c r="D18">
        <v>17400.41</v>
      </c>
      <c r="E18">
        <v>21854.1</v>
      </c>
      <c r="F18">
        <v>21071.29</v>
      </c>
      <c r="G18">
        <v>19829.13</v>
      </c>
      <c r="H18">
        <v>24141.86</v>
      </c>
      <c r="I18">
        <v>26221.58</v>
      </c>
      <c r="J18">
        <v>31969.57</v>
      </c>
      <c r="K18">
        <v>35230.78</v>
      </c>
    </row>
    <row r="19" spans="1:11" s="3" customFormat="1" x14ac:dyDescent="0.3">
      <c r="A19" s="2" t="s">
        <v>45</v>
      </c>
      <c r="B19">
        <v>-63.45</v>
      </c>
      <c r="C19">
        <v>43.68</v>
      </c>
      <c r="D19">
        <v>-9.68</v>
      </c>
      <c r="E19">
        <v>56.42</v>
      </c>
      <c r="F19">
        <v>63.01</v>
      </c>
      <c r="G19">
        <v>219.48</v>
      </c>
      <c r="H19">
        <v>-187.96</v>
      </c>
      <c r="I19">
        <v>100.33</v>
      </c>
      <c r="J19">
        <v>76.34</v>
      </c>
      <c r="K19">
        <v>-28.41</v>
      </c>
    </row>
    <row r="20" spans="1:11" s="3" customFormat="1" x14ac:dyDescent="0.3">
      <c r="A20" s="2" t="s">
        <v>46</v>
      </c>
      <c r="B20">
        <v>120.66</v>
      </c>
      <c r="C20">
        <v>96.46</v>
      </c>
      <c r="D20">
        <v>100.26</v>
      </c>
      <c r="E20">
        <v>115.01</v>
      </c>
      <c r="F20">
        <v>116.57</v>
      </c>
      <c r="G20">
        <v>91.34</v>
      </c>
      <c r="H20">
        <v>108.01</v>
      </c>
      <c r="I20">
        <v>122.6</v>
      </c>
      <c r="J20">
        <v>147.94</v>
      </c>
      <c r="K20">
        <v>176.94</v>
      </c>
    </row>
    <row r="21" spans="1:11" s="3" customFormat="1" x14ac:dyDescent="0.3">
      <c r="A21" s="2" t="s">
        <v>47</v>
      </c>
      <c r="B21">
        <v>644.19000000000005</v>
      </c>
      <c r="C21">
        <v>547.54</v>
      </c>
      <c r="D21">
        <v>550.16</v>
      </c>
      <c r="E21">
        <v>633.99</v>
      </c>
      <c r="F21">
        <v>698.83</v>
      </c>
      <c r="G21">
        <v>597.11</v>
      </c>
      <c r="H21">
        <v>836.28</v>
      </c>
      <c r="I21">
        <v>743.55</v>
      </c>
      <c r="J21">
        <v>734.43</v>
      </c>
      <c r="K21">
        <v>815.51</v>
      </c>
    </row>
    <row r="22" spans="1:11" s="3" customFormat="1" x14ac:dyDescent="0.3">
      <c r="A22" s="2" t="s">
        <v>48</v>
      </c>
      <c r="B22">
        <v>920.01</v>
      </c>
      <c r="C22">
        <v>999.83</v>
      </c>
      <c r="D22">
        <v>1072.5899999999999</v>
      </c>
      <c r="E22">
        <v>1260.32</v>
      </c>
      <c r="F22">
        <v>1395</v>
      </c>
      <c r="G22">
        <v>1296.07</v>
      </c>
      <c r="H22">
        <v>1366</v>
      </c>
      <c r="I22">
        <v>1488.1</v>
      </c>
      <c r="J22">
        <v>1631.06</v>
      </c>
      <c r="K22">
        <v>1930.38</v>
      </c>
    </row>
    <row r="23" spans="1:11" s="3" customFormat="1" x14ac:dyDescent="0.3">
      <c r="A23" s="2" t="s">
        <v>49</v>
      </c>
      <c r="B23">
        <v>795.66</v>
      </c>
      <c r="C23">
        <v>699.73</v>
      </c>
      <c r="D23">
        <v>852.82</v>
      </c>
      <c r="E23">
        <v>940.92</v>
      </c>
      <c r="F23">
        <v>1020.98</v>
      </c>
      <c r="G23">
        <v>654.86</v>
      </c>
      <c r="H23">
        <v>644.9</v>
      </c>
      <c r="I23">
        <v>852.61</v>
      </c>
      <c r="J23">
        <v>999.37</v>
      </c>
      <c r="K23">
        <v>1239.3800000000001</v>
      </c>
    </row>
    <row r="24" spans="1:11" s="3" customFormat="1" x14ac:dyDescent="0.3">
      <c r="A24" s="2" t="s">
        <v>50</v>
      </c>
      <c r="B24">
        <v>243.36</v>
      </c>
      <c r="C24">
        <v>358.38</v>
      </c>
      <c r="D24">
        <v>378.21</v>
      </c>
      <c r="E24">
        <v>411.79</v>
      </c>
      <c r="F24">
        <v>569.65</v>
      </c>
      <c r="G24">
        <v>554.27</v>
      </c>
      <c r="H24">
        <v>600.9</v>
      </c>
      <c r="I24">
        <v>662.63</v>
      </c>
      <c r="J24">
        <v>699.72</v>
      </c>
      <c r="K24">
        <v>2018.55</v>
      </c>
    </row>
    <row r="25" spans="1:11" s="3" customFormat="1" x14ac:dyDescent="0.3">
      <c r="A25" s="3" t="s">
        <v>4</v>
      </c>
      <c r="B25">
        <v>1194.1500000000001</v>
      </c>
      <c r="C25">
        <v>1467.61</v>
      </c>
      <c r="D25">
        <v>1403.72</v>
      </c>
      <c r="E25">
        <v>2027.83</v>
      </c>
      <c r="F25">
        <v>1832.38</v>
      </c>
      <c r="G25">
        <v>1569.68</v>
      </c>
      <c r="H25">
        <v>2671.3</v>
      </c>
      <c r="I25">
        <v>1702.7</v>
      </c>
      <c r="J25">
        <v>1700.49</v>
      </c>
      <c r="K25">
        <v>1472.06</v>
      </c>
    </row>
    <row r="26" spans="1:11" s="3" customFormat="1" x14ac:dyDescent="0.3">
      <c r="A26" s="3" t="s">
        <v>5</v>
      </c>
      <c r="B26">
        <v>307.16000000000003</v>
      </c>
      <c r="C26">
        <v>307.29000000000002</v>
      </c>
      <c r="D26">
        <v>314.8</v>
      </c>
      <c r="E26">
        <v>265.69</v>
      </c>
      <c r="F26">
        <v>246.43</v>
      </c>
      <c r="G26">
        <v>259.37</v>
      </c>
      <c r="H26">
        <v>269.76</v>
      </c>
      <c r="I26">
        <v>285.85000000000002</v>
      </c>
      <c r="J26">
        <v>364.77</v>
      </c>
      <c r="K26">
        <v>414.23</v>
      </c>
    </row>
    <row r="27" spans="1:11" s="3" customFormat="1" x14ac:dyDescent="0.3">
      <c r="A27" s="3" t="s">
        <v>6</v>
      </c>
      <c r="B27">
        <v>1.05</v>
      </c>
      <c r="C27">
        <v>1.4</v>
      </c>
      <c r="D27">
        <v>1.31</v>
      </c>
      <c r="E27">
        <v>4.4800000000000004</v>
      </c>
      <c r="F27">
        <v>3.16</v>
      </c>
      <c r="G27">
        <v>6.66</v>
      </c>
      <c r="H27">
        <v>8.66</v>
      </c>
      <c r="I27">
        <v>39.51</v>
      </c>
      <c r="J27">
        <v>60.36</v>
      </c>
      <c r="K27">
        <v>388.9</v>
      </c>
    </row>
    <row r="28" spans="1:11" s="3" customFormat="1" x14ac:dyDescent="0.3">
      <c r="A28" s="3" t="s">
        <v>7</v>
      </c>
      <c r="B28">
        <v>5678.89</v>
      </c>
      <c r="C28">
        <v>5587.55</v>
      </c>
      <c r="D28">
        <v>5933.41</v>
      </c>
      <c r="E28">
        <v>6955.58</v>
      </c>
      <c r="F28">
        <v>6692.13</v>
      </c>
      <c r="G28">
        <v>6241.43</v>
      </c>
      <c r="H28">
        <v>7651.68</v>
      </c>
      <c r="I28">
        <v>7841.98</v>
      </c>
      <c r="J28">
        <v>10040.040000000001</v>
      </c>
      <c r="K28">
        <v>10223.530000000001</v>
      </c>
    </row>
    <row r="29" spans="1:11" s="3" customFormat="1" x14ac:dyDescent="0.3">
      <c r="A29" s="3" t="s">
        <v>8</v>
      </c>
      <c r="B29">
        <v>1617.65</v>
      </c>
      <c r="C29">
        <v>1508.07</v>
      </c>
      <c r="D29">
        <v>1714.47</v>
      </c>
      <c r="E29">
        <v>2027.98</v>
      </c>
      <c r="F29">
        <v>1480.22</v>
      </c>
      <c r="G29">
        <v>1384.41</v>
      </c>
      <c r="H29">
        <v>1485.81</v>
      </c>
      <c r="I29">
        <v>1781.77</v>
      </c>
      <c r="J29">
        <v>2331.8000000000002</v>
      </c>
      <c r="K29">
        <v>2898.8</v>
      </c>
    </row>
    <row r="30" spans="1:11" s="3" customFormat="1" x14ac:dyDescent="0.3">
      <c r="A30" s="3" t="s">
        <v>9</v>
      </c>
      <c r="B30">
        <v>4061.24</v>
      </c>
      <c r="C30">
        <v>4079.49</v>
      </c>
      <c r="D30">
        <v>4218.95</v>
      </c>
      <c r="E30">
        <v>4927.6099999999997</v>
      </c>
      <c r="F30">
        <v>5211.91</v>
      </c>
      <c r="G30">
        <v>4857.0200000000004</v>
      </c>
      <c r="H30">
        <v>6165.87</v>
      </c>
      <c r="I30">
        <v>6060.21</v>
      </c>
      <c r="J30">
        <v>7708.24</v>
      </c>
      <c r="K30">
        <v>7324.73</v>
      </c>
    </row>
    <row r="31" spans="1:11" s="3" customFormat="1" x14ac:dyDescent="0.3">
      <c r="A31" s="3" t="s">
        <v>34</v>
      </c>
      <c r="B31">
        <v>1591.54</v>
      </c>
      <c r="C31">
        <v>1591.54</v>
      </c>
      <c r="D31">
        <v>1736.22</v>
      </c>
      <c r="E31">
        <v>1736.22</v>
      </c>
      <c r="F31">
        <v>3472.44</v>
      </c>
      <c r="G31">
        <v>4051.18</v>
      </c>
      <c r="H31">
        <v>4051.18</v>
      </c>
      <c r="I31">
        <v>3961.44</v>
      </c>
      <c r="J31">
        <v>2233.44</v>
      </c>
      <c r="K31">
        <v>5864.46</v>
      </c>
    </row>
    <row r="32" spans="1:11" s="3" customFormat="1" x14ac:dyDescent="0.3"/>
    <row r="33" spans="1:11" x14ac:dyDescent="0.3">
      <c r="A33" s="3" t="s">
        <v>65</v>
      </c>
      <c r="B33" s="2">
        <f>SUM(B30,B29,B27,B26,)</f>
        <v>5987.0999999999995</v>
      </c>
      <c r="C33" s="2">
        <f t="shared" ref="C33:K33" si="0">SUM(C30,C29,C27,C26,)</f>
        <v>5896.2499999999991</v>
      </c>
      <c r="D33" s="2">
        <f t="shared" si="0"/>
        <v>6249.5300000000007</v>
      </c>
      <c r="E33" s="2">
        <f t="shared" si="0"/>
        <v>7225.7599999999993</v>
      </c>
      <c r="F33" s="2">
        <f t="shared" si="0"/>
        <v>6941.72</v>
      </c>
      <c r="G33" s="2">
        <f t="shared" si="0"/>
        <v>6507.46</v>
      </c>
      <c r="H33" s="2">
        <f t="shared" si="0"/>
        <v>7930.1</v>
      </c>
      <c r="I33" s="2">
        <f t="shared" si="0"/>
        <v>8167.34</v>
      </c>
      <c r="J33" s="2">
        <f t="shared" si="0"/>
        <v>10465.170000000002</v>
      </c>
      <c r="K33" s="2">
        <f t="shared" si="0"/>
        <v>11026.659999999998</v>
      </c>
    </row>
    <row r="34" spans="1:11" x14ac:dyDescent="0.3">
      <c r="A34" s="3"/>
    </row>
    <row r="35" spans="1:11" x14ac:dyDescent="0.3">
      <c r="A35" s="3"/>
    </row>
    <row r="36" spans="1:11" x14ac:dyDescent="0.3">
      <c r="A36" s="3"/>
    </row>
    <row r="37" spans="1:11" x14ac:dyDescent="0.3">
      <c r="A37" s="3"/>
    </row>
    <row r="38" spans="1:11" x14ac:dyDescent="0.3">
      <c r="A38" s="3"/>
    </row>
    <row r="39" spans="1:11" x14ac:dyDescent="0.3">
      <c r="A39" s="3"/>
    </row>
    <row r="40" spans="1:11" x14ac:dyDescent="0.3">
      <c r="A40" s="1" t="s">
        <v>24</v>
      </c>
    </row>
    <row r="41" spans="1:11" s="6" customFormat="1" x14ac:dyDescent="0.3">
      <c r="A41" s="5" t="s">
        <v>23</v>
      </c>
      <c r="B41" s="4">
        <v>45199</v>
      </c>
      <c r="C41" s="4">
        <v>45291</v>
      </c>
      <c r="D41" s="4">
        <v>45382</v>
      </c>
      <c r="E41" s="4">
        <v>45473</v>
      </c>
      <c r="F41" s="4">
        <v>45565</v>
      </c>
      <c r="G41" s="4">
        <v>45657</v>
      </c>
      <c r="H41" s="4">
        <v>45747</v>
      </c>
      <c r="I41" s="4">
        <v>45838</v>
      </c>
      <c r="J41" s="4">
        <v>45930</v>
      </c>
      <c r="K41" s="4">
        <v>46022</v>
      </c>
    </row>
    <row r="42" spans="1:11" s="3" customFormat="1" x14ac:dyDescent="0.3">
      <c r="A42" s="3" t="s">
        <v>1</v>
      </c>
      <c r="B42">
        <v>10838.24</v>
      </c>
      <c r="C42">
        <v>12165.33</v>
      </c>
      <c r="D42">
        <v>11554.95</v>
      </c>
      <c r="E42">
        <v>11932.07</v>
      </c>
      <c r="F42">
        <v>13247.28</v>
      </c>
      <c r="G42">
        <v>13168.88</v>
      </c>
      <c r="H42">
        <v>12646.32</v>
      </c>
      <c r="I42">
        <v>13133.35</v>
      </c>
      <c r="J42">
        <v>15734.74</v>
      </c>
      <c r="K42">
        <v>16204.45</v>
      </c>
    </row>
    <row r="43" spans="1:11" s="3" customFormat="1" x14ac:dyDescent="0.3">
      <c r="A43" s="3" t="s">
        <v>2</v>
      </c>
      <c r="B43">
        <v>8708.11</v>
      </c>
      <c r="C43">
        <v>9750.43</v>
      </c>
      <c r="D43">
        <v>9270.69</v>
      </c>
      <c r="E43">
        <v>9561.6299999999992</v>
      </c>
      <c r="F43">
        <v>11174.05</v>
      </c>
      <c r="G43">
        <v>10418.049999999999</v>
      </c>
      <c r="H43">
        <v>10288.57</v>
      </c>
      <c r="I43">
        <v>10340.41</v>
      </c>
      <c r="J43">
        <v>12906.05</v>
      </c>
      <c r="K43">
        <v>12474.7</v>
      </c>
    </row>
    <row r="44" spans="1:11" s="3" customFormat="1" x14ac:dyDescent="0.3">
      <c r="A44" s="3" t="s">
        <v>4</v>
      </c>
      <c r="B44">
        <v>552.25</v>
      </c>
      <c r="C44">
        <v>356.33</v>
      </c>
      <c r="D44">
        <v>443.93</v>
      </c>
      <c r="E44">
        <v>335.32</v>
      </c>
      <c r="F44">
        <v>399.33</v>
      </c>
      <c r="G44">
        <v>347.53</v>
      </c>
      <c r="H44">
        <v>392.23</v>
      </c>
      <c r="I44">
        <v>508.98</v>
      </c>
      <c r="J44">
        <v>575.79999999999995</v>
      </c>
      <c r="K44">
        <v>359.31</v>
      </c>
    </row>
    <row r="45" spans="1:11" s="3" customFormat="1" x14ac:dyDescent="0.3">
      <c r="A45" s="3" t="s">
        <v>5</v>
      </c>
      <c r="B45">
        <v>91.82</v>
      </c>
      <c r="C45">
        <v>92.91</v>
      </c>
      <c r="D45">
        <v>92.81</v>
      </c>
      <c r="E45">
        <v>95.01</v>
      </c>
      <c r="F45">
        <v>98.27</v>
      </c>
      <c r="G45">
        <v>101.72</v>
      </c>
      <c r="H45">
        <v>119.23</v>
      </c>
      <c r="I45">
        <v>117.51</v>
      </c>
      <c r="J45">
        <v>118.99</v>
      </c>
      <c r="K45">
        <v>119.26</v>
      </c>
    </row>
    <row r="46" spans="1:11" s="3" customFormat="1" x14ac:dyDescent="0.3">
      <c r="A46" s="3" t="s">
        <v>6</v>
      </c>
      <c r="B46">
        <v>6.54</v>
      </c>
      <c r="C46">
        <v>12.1</v>
      </c>
      <c r="D46">
        <v>29.63</v>
      </c>
      <c r="E46">
        <v>46.97</v>
      </c>
      <c r="F46">
        <v>75.2</v>
      </c>
      <c r="G46">
        <v>120.21</v>
      </c>
      <c r="H46">
        <v>146.52000000000001</v>
      </c>
      <c r="I46">
        <v>223.76</v>
      </c>
      <c r="J46">
        <v>286.83999999999997</v>
      </c>
      <c r="K46">
        <v>313.63</v>
      </c>
    </row>
    <row r="47" spans="1:11" s="3" customFormat="1" x14ac:dyDescent="0.3">
      <c r="A47" s="3" t="s">
        <v>7</v>
      </c>
      <c r="B47">
        <v>2584.02</v>
      </c>
      <c r="C47">
        <v>2666.22</v>
      </c>
      <c r="D47">
        <v>2605.75</v>
      </c>
      <c r="E47">
        <v>2563.7800000000002</v>
      </c>
      <c r="F47">
        <v>2299.09</v>
      </c>
      <c r="G47">
        <v>2876.43</v>
      </c>
      <c r="H47">
        <v>2484.23</v>
      </c>
      <c r="I47">
        <v>2960.65</v>
      </c>
      <c r="J47">
        <v>2998.66</v>
      </c>
      <c r="K47">
        <v>3656.17</v>
      </c>
    </row>
    <row r="48" spans="1:11" s="3" customFormat="1" x14ac:dyDescent="0.3">
      <c r="A48" s="3" t="s">
        <v>8</v>
      </c>
      <c r="B48">
        <v>563.97</v>
      </c>
      <c r="C48">
        <v>633.6</v>
      </c>
      <c r="D48">
        <v>594.32000000000005</v>
      </c>
      <c r="E48">
        <v>621.99</v>
      </c>
      <c r="F48">
        <v>913.65</v>
      </c>
      <c r="G48">
        <v>680.78</v>
      </c>
      <c r="H48">
        <v>682.38</v>
      </c>
      <c r="I48">
        <v>750.21</v>
      </c>
      <c r="J48">
        <v>876.63</v>
      </c>
      <c r="K48">
        <v>906.35</v>
      </c>
    </row>
    <row r="49" spans="1:12" s="3" customFormat="1" x14ac:dyDescent="0.3">
      <c r="A49" s="3" t="s">
        <v>9</v>
      </c>
      <c r="B49">
        <v>2020.05</v>
      </c>
      <c r="C49">
        <v>2032.62</v>
      </c>
      <c r="D49">
        <v>2011.43</v>
      </c>
      <c r="E49">
        <v>1941.79</v>
      </c>
      <c r="F49">
        <v>1385.44</v>
      </c>
      <c r="G49">
        <v>2195.65</v>
      </c>
      <c r="H49">
        <v>1801.85</v>
      </c>
      <c r="I49">
        <v>2210.44</v>
      </c>
      <c r="J49">
        <v>2122.0300000000002</v>
      </c>
      <c r="K49">
        <v>2749.82</v>
      </c>
    </row>
    <row r="50" spans="1:12" x14ac:dyDescent="0.3">
      <c r="A50" s="3" t="s">
        <v>3</v>
      </c>
      <c r="B50">
        <v>2130.13</v>
      </c>
      <c r="C50">
        <v>2414.9</v>
      </c>
      <c r="D50">
        <v>2284.2600000000002</v>
      </c>
      <c r="E50">
        <v>2370.44</v>
      </c>
      <c r="F50">
        <v>2073.23</v>
      </c>
      <c r="G50">
        <v>2750.83</v>
      </c>
      <c r="H50">
        <v>2357.75</v>
      </c>
      <c r="I50">
        <v>2792.94</v>
      </c>
      <c r="J50">
        <v>2828.69</v>
      </c>
      <c r="K50">
        <v>3729.75</v>
      </c>
    </row>
    <row r="51" spans="1:12" x14ac:dyDescent="0.3">
      <c r="A51" s="3"/>
    </row>
    <row r="52" spans="1:12" x14ac:dyDescent="0.3">
      <c r="A52" s="3"/>
    </row>
    <row r="53" spans="1:12" x14ac:dyDescent="0.3">
      <c r="A53" s="3"/>
    </row>
    <row r="54" spans="1:12" x14ac:dyDescent="0.3">
      <c r="A54" s="3"/>
    </row>
    <row r="55" spans="1:12" x14ac:dyDescent="0.3">
      <c r="A55" s="1" t="s">
        <v>25</v>
      </c>
    </row>
    <row r="56" spans="1:12" s="6" customFormat="1" x14ac:dyDescent="0.3">
      <c r="A56" s="5" t="s">
        <v>23</v>
      </c>
      <c r="B56" s="4">
        <v>42460</v>
      </c>
      <c r="C56" s="4">
        <v>42825</v>
      </c>
      <c r="D56" s="4">
        <v>43190</v>
      </c>
      <c r="E56" s="4">
        <v>43555</v>
      </c>
      <c r="F56" s="4">
        <v>43921</v>
      </c>
      <c r="G56" s="4">
        <v>44286</v>
      </c>
      <c r="H56" s="4">
        <v>44651</v>
      </c>
      <c r="I56" s="4">
        <v>45016</v>
      </c>
      <c r="J56" s="4">
        <v>45382</v>
      </c>
      <c r="K56" s="4">
        <v>45747</v>
      </c>
    </row>
    <row r="57" spans="1:12" x14ac:dyDescent="0.3">
      <c r="A57" s="3" t="s">
        <v>10</v>
      </c>
      <c r="B57">
        <v>289.37</v>
      </c>
      <c r="C57">
        <v>289.37</v>
      </c>
      <c r="D57">
        <v>289.37</v>
      </c>
      <c r="E57">
        <v>289.37</v>
      </c>
      <c r="F57">
        <v>289.37</v>
      </c>
      <c r="G57">
        <v>289.37</v>
      </c>
      <c r="H57">
        <v>289.37</v>
      </c>
      <c r="I57">
        <v>282.95999999999998</v>
      </c>
      <c r="J57">
        <v>279.18</v>
      </c>
      <c r="K57">
        <v>279.26</v>
      </c>
    </row>
    <row r="58" spans="1:12" x14ac:dyDescent="0.3">
      <c r="A58" s="3" t="s">
        <v>11</v>
      </c>
      <c r="B58">
        <v>13730.94</v>
      </c>
      <c r="C58">
        <v>17567.2</v>
      </c>
      <c r="D58">
        <v>20135.87</v>
      </c>
      <c r="E58">
        <v>22944.44</v>
      </c>
      <c r="F58">
        <v>21372.71</v>
      </c>
      <c r="G58">
        <v>26984.06</v>
      </c>
      <c r="H58">
        <v>29570.28</v>
      </c>
      <c r="I58">
        <v>29078.58</v>
      </c>
      <c r="J58">
        <v>28683.23</v>
      </c>
      <c r="K58">
        <v>34909.480000000003</v>
      </c>
    </row>
    <row r="59" spans="1:12" x14ac:dyDescent="0.3">
      <c r="A59" s="3" t="s">
        <v>35</v>
      </c>
      <c r="B59">
        <v>117.86</v>
      </c>
      <c r="C59">
        <v>119.9</v>
      </c>
      <c r="D59">
        <v>120.77</v>
      </c>
      <c r="E59">
        <v>124.52</v>
      </c>
      <c r="F59">
        <v>125.59</v>
      </c>
      <c r="G59">
        <v>121.46</v>
      </c>
      <c r="H59">
        <v>122.77</v>
      </c>
      <c r="I59">
        <v>124.23</v>
      </c>
      <c r="J59">
        <v>1911.74</v>
      </c>
      <c r="K59">
        <v>9364.16</v>
      </c>
    </row>
    <row r="60" spans="1:12" x14ac:dyDescent="0.3">
      <c r="A60" s="3" t="s">
        <v>36</v>
      </c>
      <c r="B60">
        <v>3102.2</v>
      </c>
      <c r="C60">
        <v>3661.15</v>
      </c>
      <c r="D60">
        <v>4594.99</v>
      </c>
      <c r="E60">
        <v>5476.08</v>
      </c>
      <c r="F60">
        <v>4722.3500000000004</v>
      </c>
      <c r="G60">
        <v>6206.82</v>
      </c>
      <c r="H60">
        <v>5128.79</v>
      </c>
      <c r="I60">
        <v>5650.68</v>
      </c>
      <c r="J60">
        <v>8469.5400000000009</v>
      </c>
      <c r="K60">
        <v>9557.02</v>
      </c>
    </row>
    <row r="61" spans="1:12" s="1" customFormat="1" x14ac:dyDescent="0.3">
      <c r="A61" s="1" t="s">
        <v>12</v>
      </c>
      <c r="B61">
        <v>17240.37</v>
      </c>
      <c r="C61">
        <v>21637.62</v>
      </c>
      <c r="D61">
        <v>25141</v>
      </c>
      <c r="E61">
        <v>28834.41</v>
      </c>
      <c r="F61">
        <v>26510.02</v>
      </c>
      <c r="G61">
        <v>33601.71</v>
      </c>
      <c r="H61">
        <v>35111.21</v>
      </c>
      <c r="I61">
        <v>35136.449999999997</v>
      </c>
      <c r="J61">
        <v>39343.69</v>
      </c>
      <c r="K61">
        <v>54109.919999999998</v>
      </c>
    </row>
    <row r="62" spans="1:12" s="1" customFormat="1" x14ac:dyDescent="0.3"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</row>
    <row r="63" spans="1:12" x14ac:dyDescent="0.3">
      <c r="A63" s="3" t="s">
        <v>13</v>
      </c>
      <c r="B63">
        <v>2025.67</v>
      </c>
      <c r="C63">
        <v>2001.79</v>
      </c>
      <c r="D63">
        <v>1878.33</v>
      </c>
      <c r="E63">
        <v>1763.94</v>
      </c>
      <c r="F63">
        <v>1699.02</v>
      </c>
      <c r="G63">
        <v>1667.55</v>
      </c>
      <c r="H63">
        <v>1836.05</v>
      </c>
      <c r="I63">
        <v>2842.24</v>
      </c>
      <c r="J63">
        <v>3217.37</v>
      </c>
      <c r="K63">
        <v>3676.59</v>
      </c>
    </row>
    <row r="64" spans="1:12" x14ac:dyDescent="0.3">
      <c r="A64" s="3" t="s">
        <v>14</v>
      </c>
      <c r="B64">
        <v>52.24</v>
      </c>
      <c r="C64">
        <v>42.17</v>
      </c>
      <c r="D64">
        <v>56.47</v>
      </c>
      <c r="E64">
        <v>48.02</v>
      </c>
      <c r="F64">
        <v>60.19</v>
      </c>
      <c r="G64">
        <v>15.98</v>
      </c>
      <c r="H64">
        <v>77.209999999999994</v>
      </c>
      <c r="I64">
        <v>85.27</v>
      </c>
      <c r="J64">
        <v>35.1</v>
      </c>
      <c r="K64">
        <v>60.8</v>
      </c>
    </row>
    <row r="65" spans="1:12" x14ac:dyDescent="0.3">
      <c r="A65" s="3" t="s">
        <v>15</v>
      </c>
      <c r="B65">
        <v>11067.23</v>
      </c>
      <c r="C65">
        <v>15477.04</v>
      </c>
      <c r="D65">
        <v>18894.57</v>
      </c>
      <c r="E65">
        <v>20602.849999999999</v>
      </c>
      <c r="F65">
        <v>19913.580000000002</v>
      </c>
      <c r="G65">
        <v>24686.65</v>
      </c>
      <c r="H65">
        <v>26634.12</v>
      </c>
      <c r="I65">
        <v>26182.91</v>
      </c>
      <c r="J65">
        <v>28086.68</v>
      </c>
      <c r="K65">
        <v>28913.87</v>
      </c>
    </row>
    <row r="66" spans="1:12" x14ac:dyDescent="0.3">
      <c r="A66" s="3" t="s">
        <v>37</v>
      </c>
      <c r="B66">
        <v>4095.23</v>
      </c>
      <c r="C66">
        <v>4116.62</v>
      </c>
      <c r="D66">
        <v>4311.63</v>
      </c>
      <c r="E66">
        <v>6419.6</v>
      </c>
      <c r="F66">
        <v>4837.2299999999996</v>
      </c>
      <c r="G66">
        <v>7231.53</v>
      </c>
      <c r="H66">
        <v>6563.83</v>
      </c>
      <c r="I66">
        <v>6026.03</v>
      </c>
      <c r="J66">
        <v>8004.54</v>
      </c>
      <c r="K66">
        <v>21458.66</v>
      </c>
    </row>
    <row r="67" spans="1:12" s="1" customFormat="1" x14ac:dyDescent="0.3">
      <c r="A67" s="1" t="s">
        <v>12</v>
      </c>
      <c r="B67">
        <v>17240.37</v>
      </c>
      <c r="C67">
        <v>21637.62</v>
      </c>
      <c r="D67">
        <v>25141</v>
      </c>
      <c r="E67">
        <v>28834.41</v>
      </c>
      <c r="F67">
        <v>26510.02</v>
      </c>
      <c r="G67">
        <v>33601.71</v>
      </c>
      <c r="H67">
        <v>35111.21</v>
      </c>
      <c r="I67">
        <v>35136.449999999997</v>
      </c>
      <c r="J67">
        <v>39343.69</v>
      </c>
      <c r="K67">
        <v>54109.919999999998</v>
      </c>
    </row>
    <row r="68" spans="1:12" s="3" customFormat="1" x14ac:dyDescent="0.3">
      <c r="A68" s="3" t="s">
        <v>42</v>
      </c>
      <c r="B68">
        <v>717.93</v>
      </c>
      <c r="C68">
        <v>953.29</v>
      </c>
      <c r="D68">
        <v>1491.87</v>
      </c>
      <c r="E68">
        <v>2559.69</v>
      </c>
      <c r="F68">
        <v>1725.1</v>
      </c>
      <c r="G68">
        <v>2716.85</v>
      </c>
      <c r="H68">
        <v>1516.38</v>
      </c>
      <c r="I68">
        <v>1752.43</v>
      </c>
      <c r="J68">
        <v>2075.5300000000002</v>
      </c>
      <c r="K68">
        <v>2125.2199999999998</v>
      </c>
    </row>
    <row r="69" spans="1:12" x14ac:dyDescent="0.3">
      <c r="A69" s="3" t="s">
        <v>29</v>
      </c>
      <c r="B69">
        <v>719.07</v>
      </c>
      <c r="C69">
        <v>728.38</v>
      </c>
      <c r="D69">
        <v>742.58</v>
      </c>
      <c r="E69">
        <v>961.51</v>
      </c>
      <c r="F69">
        <v>1063.5</v>
      </c>
      <c r="G69">
        <v>1493.89</v>
      </c>
      <c r="H69">
        <v>1230.51</v>
      </c>
      <c r="I69">
        <v>1563.55</v>
      </c>
      <c r="J69">
        <v>1688.75</v>
      </c>
      <c r="K69">
        <v>2077.36</v>
      </c>
    </row>
    <row r="70" spans="1:12" x14ac:dyDescent="0.3">
      <c r="A70" s="2" t="s">
        <v>51</v>
      </c>
      <c r="B70">
        <v>867.03</v>
      </c>
      <c r="C70">
        <v>301.36</v>
      </c>
      <c r="D70">
        <v>792.66</v>
      </c>
      <c r="E70">
        <v>933.07</v>
      </c>
      <c r="F70">
        <v>316.33999999999997</v>
      </c>
      <c r="G70">
        <v>538.84</v>
      </c>
      <c r="H70">
        <v>958.06</v>
      </c>
      <c r="I70">
        <v>690.48</v>
      </c>
      <c r="J70">
        <v>955.32</v>
      </c>
      <c r="K70">
        <v>2847.6</v>
      </c>
    </row>
    <row r="71" spans="1:12" x14ac:dyDescent="0.3">
      <c r="A71" s="2" t="s">
        <v>38</v>
      </c>
      <c r="B71">
        <v>289367020</v>
      </c>
      <c r="C71">
        <v>289367020</v>
      </c>
      <c r="D71">
        <v>289367020</v>
      </c>
      <c r="E71">
        <v>289367020</v>
      </c>
      <c r="F71">
        <v>289367020</v>
      </c>
      <c r="G71">
        <v>289367020</v>
      </c>
      <c r="H71">
        <v>289367020</v>
      </c>
      <c r="I71">
        <v>282957358</v>
      </c>
      <c r="J71">
        <v>279179756</v>
      </c>
      <c r="K71">
        <v>279257608</v>
      </c>
    </row>
    <row r="72" spans="1:12" x14ac:dyDescent="0.3">
      <c r="A72" s="2" t="s">
        <v>39</v>
      </c>
      <c r="L72" s="2">
        <f>SUM(B63:B65,B68:B70,B66)</f>
        <v>19544.400000000001</v>
      </c>
    </row>
    <row r="73" spans="1:12" x14ac:dyDescent="0.3">
      <c r="A73" s="2" t="s">
        <v>52</v>
      </c>
      <c r="B73">
        <v>10</v>
      </c>
      <c r="C73">
        <v>10</v>
      </c>
      <c r="D73">
        <v>10</v>
      </c>
      <c r="E73">
        <v>10</v>
      </c>
      <c r="F73">
        <v>10</v>
      </c>
      <c r="G73">
        <v>10</v>
      </c>
      <c r="H73">
        <v>10</v>
      </c>
      <c r="I73">
        <v>10</v>
      </c>
      <c r="J73">
        <v>10</v>
      </c>
      <c r="K73">
        <v>10</v>
      </c>
    </row>
    <row r="75" spans="1:12" x14ac:dyDescent="0.3">
      <c r="A75" s="3" t="s">
        <v>117</v>
      </c>
      <c r="B75" s="2">
        <f>SUM(B68:B70,B63:B65)</f>
        <v>15449.169999999998</v>
      </c>
      <c r="C75" s="2">
        <f t="shared" ref="C75:K75" si="1">SUM(C68:C70,C63:C65)</f>
        <v>19504.030000000002</v>
      </c>
      <c r="D75" s="2">
        <f t="shared" si="1"/>
        <v>23856.48</v>
      </c>
      <c r="E75" s="2">
        <f t="shared" si="1"/>
        <v>26869.079999999998</v>
      </c>
      <c r="F75" s="2">
        <f t="shared" si="1"/>
        <v>24777.730000000003</v>
      </c>
      <c r="G75" s="2">
        <f t="shared" si="1"/>
        <v>31119.760000000002</v>
      </c>
      <c r="H75" s="2">
        <f t="shared" si="1"/>
        <v>32252.329999999998</v>
      </c>
      <c r="I75" s="2">
        <f t="shared" si="1"/>
        <v>33116.879999999997</v>
      </c>
      <c r="J75" s="2">
        <f t="shared" si="1"/>
        <v>36058.75</v>
      </c>
      <c r="K75" s="2">
        <f t="shared" si="1"/>
        <v>39701.440000000002</v>
      </c>
    </row>
    <row r="76" spans="1:12" x14ac:dyDescent="0.3">
      <c r="A76" s="3"/>
    </row>
    <row r="77" spans="1:12" x14ac:dyDescent="0.3">
      <c r="A77" s="3"/>
    </row>
    <row r="78" spans="1:12" x14ac:dyDescent="0.3">
      <c r="A78" s="3"/>
    </row>
    <row r="79" spans="1:12" x14ac:dyDescent="0.3">
      <c r="A79" s="3"/>
    </row>
    <row r="80" spans="1:12" x14ac:dyDescent="0.3">
      <c r="A80" s="3"/>
    </row>
    <row r="81" spans="1:11" x14ac:dyDescent="0.3">
      <c r="A81" s="1" t="s">
        <v>26</v>
      </c>
    </row>
    <row r="82" spans="1:11" s="6" customFormat="1" x14ac:dyDescent="0.3">
      <c r="A82" s="5" t="s">
        <v>23</v>
      </c>
      <c r="B82" s="4">
        <v>42460</v>
      </c>
      <c r="C82" s="4">
        <v>42825</v>
      </c>
      <c r="D82" s="4">
        <v>43190</v>
      </c>
      <c r="E82" s="4">
        <v>43555</v>
      </c>
      <c r="F82" s="4">
        <v>43921</v>
      </c>
      <c r="G82" s="4">
        <v>44286</v>
      </c>
      <c r="H82" s="4">
        <v>44651</v>
      </c>
      <c r="I82" s="4">
        <v>45016</v>
      </c>
      <c r="J82" s="4">
        <v>45382</v>
      </c>
      <c r="K82" s="4">
        <v>45747</v>
      </c>
    </row>
    <row r="83" spans="1:11" s="1" customFormat="1" x14ac:dyDescent="0.3">
      <c r="A83" s="3" t="s">
        <v>17</v>
      </c>
      <c r="B83">
        <v>3689.85</v>
      </c>
      <c r="C83">
        <v>3267.36</v>
      </c>
      <c r="D83">
        <v>4327.84</v>
      </c>
      <c r="E83">
        <v>2486.86</v>
      </c>
      <c r="F83">
        <v>3850.44</v>
      </c>
      <c r="G83">
        <v>3119.88</v>
      </c>
      <c r="H83">
        <v>4197.21</v>
      </c>
      <c r="I83">
        <v>5277.42</v>
      </c>
      <c r="J83">
        <v>6558.16</v>
      </c>
      <c r="K83">
        <v>-1405.57</v>
      </c>
    </row>
    <row r="84" spans="1:11" s="3" customFormat="1" x14ac:dyDescent="0.3">
      <c r="A84" s="3" t="s">
        <v>18</v>
      </c>
      <c r="B84">
        <v>-67.52</v>
      </c>
      <c r="C84">
        <v>-3609.68</v>
      </c>
      <c r="D84">
        <v>-1954.48</v>
      </c>
      <c r="E84">
        <v>-272.77</v>
      </c>
      <c r="F84">
        <v>1765.83</v>
      </c>
      <c r="G84">
        <v>-2869.15</v>
      </c>
      <c r="H84">
        <v>276.2</v>
      </c>
      <c r="I84">
        <v>1211.21</v>
      </c>
      <c r="J84">
        <v>-71.97</v>
      </c>
      <c r="K84">
        <v>-1053.42</v>
      </c>
    </row>
    <row r="85" spans="1:11" s="3" customFormat="1" x14ac:dyDescent="0.3">
      <c r="A85" s="3" t="s">
        <v>19</v>
      </c>
      <c r="B85">
        <v>-3384.08</v>
      </c>
      <c r="C85">
        <v>-190.09</v>
      </c>
      <c r="D85">
        <v>-1885.26</v>
      </c>
      <c r="E85">
        <v>-2074.0500000000002</v>
      </c>
      <c r="F85">
        <v>-6246.51</v>
      </c>
      <c r="G85">
        <v>-19.52</v>
      </c>
      <c r="H85">
        <v>-4056.33</v>
      </c>
      <c r="I85">
        <v>-7180.7</v>
      </c>
      <c r="J85">
        <v>-6167.36</v>
      </c>
      <c r="K85">
        <v>4230.07</v>
      </c>
    </row>
    <row r="86" spans="1:11" s="1" customFormat="1" x14ac:dyDescent="0.3">
      <c r="A86" s="3" t="s">
        <v>20</v>
      </c>
      <c r="B86">
        <v>238.25</v>
      </c>
      <c r="C86">
        <v>-532.41</v>
      </c>
      <c r="D86">
        <v>488.1</v>
      </c>
      <c r="E86">
        <v>140.04</v>
      </c>
      <c r="F86">
        <v>-630.24</v>
      </c>
      <c r="G86">
        <v>231.21</v>
      </c>
      <c r="H86">
        <v>417.08</v>
      </c>
      <c r="I86">
        <v>-692.07</v>
      </c>
      <c r="J86">
        <v>318.83</v>
      </c>
      <c r="K86">
        <v>1771.08</v>
      </c>
    </row>
    <row r="87" spans="1:11" x14ac:dyDescent="0.3">
      <c r="A87" s="3"/>
    </row>
    <row r="88" spans="1:11" x14ac:dyDescent="0.3">
      <c r="A88" s="3"/>
    </row>
    <row r="89" spans="1:11" x14ac:dyDescent="0.3">
      <c r="A89" s="3"/>
    </row>
    <row r="90" spans="1:11" x14ac:dyDescent="0.3">
      <c r="A90" s="3"/>
    </row>
    <row r="91" spans="1:11" s="1" customFormat="1" x14ac:dyDescent="0.3">
      <c r="A91" s="1" t="s">
        <v>41</v>
      </c>
      <c r="B91">
        <v>2405.9499999999998</v>
      </c>
      <c r="C91">
        <v>2805.45</v>
      </c>
      <c r="D91">
        <v>2744.7</v>
      </c>
      <c r="E91">
        <v>2911.1</v>
      </c>
      <c r="F91">
        <v>2022.35</v>
      </c>
      <c r="G91">
        <v>3670.6</v>
      </c>
      <c r="H91">
        <v>3653</v>
      </c>
      <c r="I91">
        <v>3884.75</v>
      </c>
      <c r="J91">
        <v>9148.15</v>
      </c>
      <c r="K91">
        <v>7878.85</v>
      </c>
    </row>
    <row r="93" spans="1:11" s="1" customFormat="1" x14ac:dyDescent="0.3">
      <c r="A93" s="1" t="s">
        <v>40</v>
      </c>
    </row>
    <row r="94" spans="1:11" x14ac:dyDescent="0.3">
      <c r="A94" s="2" t="s">
        <v>53</v>
      </c>
      <c r="B94" s="7">
        <v>28.94</v>
      </c>
      <c r="C94" s="7">
        <v>28.94</v>
      </c>
      <c r="D94" s="7">
        <v>28.94</v>
      </c>
      <c r="E94" s="7">
        <v>28.94</v>
      </c>
      <c r="F94" s="7">
        <v>28.94</v>
      </c>
      <c r="G94" s="7">
        <v>28.94</v>
      </c>
      <c r="H94" s="7">
        <v>28.94</v>
      </c>
      <c r="I94" s="7">
        <v>28.3</v>
      </c>
      <c r="J94" s="7">
        <v>27.92</v>
      </c>
      <c r="K94" s="7">
        <v>27.93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Financials&gt;</vt:lpstr>
      <vt:lpstr>Common Size Statement</vt:lpstr>
      <vt:lpstr>Cashflow Data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Yash Barewar</cp:lastModifiedBy>
  <cp:lastPrinted>2026-03-25T11:35:09Z</cp:lastPrinted>
  <dcterms:created xsi:type="dcterms:W3CDTF">2012-08-17T09:55:37Z</dcterms:created>
  <dcterms:modified xsi:type="dcterms:W3CDTF">2026-03-26T19:12:22Z</dcterms:modified>
</cp:coreProperties>
</file>